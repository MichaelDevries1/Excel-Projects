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GitHub\Excel-Projects\"/>
    </mc:Choice>
  </mc:AlternateContent>
  <xr:revisionPtr revIDLastSave="0" documentId="8_{59083563-6D9D-40EE-8EF2-7716D4F2A1E0}" xr6:coauthVersionLast="43" xr6:coauthVersionMax="43" xr10:uidLastSave="{00000000-0000-0000-0000-000000000000}"/>
  <bookViews>
    <workbookView xWindow="8616" yWindow="2940" windowWidth="17280" windowHeight="8964" firstSheet="3" activeTab="3" xr2:uid="{AD9FDC92-5EBE-4110-9C0D-ED6D25E930D2}"/>
  </bookViews>
  <sheets>
    <sheet name="Intro" sheetId="1" r:id="rId1"/>
    <sheet name="Overview" sheetId="2" r:id="rId2"/>
    <sheet name="Mod" sheetId="3" r:id="rId3"/>
    <sheet name="Hidden" sheetId="4" r:id="rId4"/>
    <sheet name="Jan" sheetId="5" r:id="rId5"/>
    <sheet name="Feb" sheetId="6" r:id="rId6"/>
    <sheet name="Mar" sheetId="7" r:id="rId7"/>
    <sheet name="Apr" sheetId="8" r:id="rId8"/>
    <sheet name="May" sheetId="9" r:id="rId9"/>
    <sheet name="Jun" sheetId="10" r:id="rId10"/>
    <sheet name="Jul" sheetId="11" r:id="rId11"/>
    <sheet name="Aug" sheetId="12" r:id="rId12"/>
    <sheet name="Sep" sheetId="13" r:id="rId13"/>
    <sheet name="Oct" sheetId="14" r:id="rId14"/>
    <sheet name="Nov" sheetId="15" r:id="rId15"/>
    <sheet name="Dec" sheetId="16" r:id="rId16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4" l="1"/>
  <c r="I1" i="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H2" i="4"/>
  <c r="H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I5" i="3"/>
  <c r="C2" i="4" l="1"/>
  <c r="G2" i="4"/>
  <c r="G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H1" i="4"/>
  <c r="F150" i="16" l="1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A15" i="16"/>
  <c r="A13" i="16"/>
  <c r="B13" i="16" s="1"/>
  <c r="A9" i="16"/>
  <c r="A6" i="16"/>
  <c r="B9" i="16" s="1"/>
  <c r="A4" i="16"/>
  <c r="A13" i="15"/>
  <c r="A15" i="15" s="1"/>
  <c r="A6" i="15"/>
  <c r="B9" i="15" s="1"/>
  <c r="A4" i="15"/>
  <c r="A9" i="15" s="1"/>
  <c r="A13" i="14"/>
  <c r="A15" i="14" s="1"/>
  <c r="A6" i="14"/>
  <c r="A4" i="14"/>
  <c r="B9" i="14" s="1"/>
  <c r="A13" i="13"/>
  <c r="B13" i="13" s="1"/>
  <c r="A9" i="13"/>
  <c r="A6" i="13"/>
  <c r="A4" i="13"/>
  <c r="B9" i="13" s="1"/>
  <c r="A13" i="12"/>
  <c r="A15" i="12" s="1"/>
  <c r="A6" i="12"/>
  <c r="A4" i="12"/>
  <c r="B9" i="12" s="1"/>
  <c r="A13" i="11"/>
  <c r="A15" i="11" s="1"/>
  <c r="A9" i="11"/>
  <c r="A6" i="11"/>
  <c r="A4" i="11"/>
  <c r="B9" i="11" s="1"/>
  <c r="A15" i="10"/>
  <c r="B13" i="10"/>
  <c r="A13" i="10"/>
  <c r="A9" i="10"/>
  <c r="A6" i="10"/>
  <c r="B9" i="10" s="1"/>
  <c r="A4" i="10"/>
  <c r="A13" i="9"/>
  <c r="A15" i="9" s="1"/>
  <c r="A9" i="9"/>
  <c r="A6" i="9"/>
  <c r="A4" i="9"/>
  <c r="B9" i="9" s="1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A15" i="8"/>
  <c r="A13" i="8"/>
  <c r="B13" i="8" s="1"/>
  <c r="A6" i="8"/>
  <c r="B9" i="8" s="1"/>
  <c r="A4" i="8"/>
  <c r="A9" i="8" s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3" i="7"/>
  <c r="A15" i="7"/>
  <c r="A13" i="7"/>
  <c r="B13" i="7" s="1"/>
  <c r="A9" i="7"/>
  <c r="A6" i="7"/>
  <c r="A4" i="7"/>
  <c r="B9" i="7" s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A13" i="6"/>
  <c r="B13" i="6" s="1"/>
  <c r="A6" i="6"/>
  <c r="A4" i="6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3" i="6"/>
  <c r="A13" i="5"/>
  <c r="A15" i="5" s="1"/>
  <c r="A6" i="5"/>
  <c r="A4" i="5"/>
  <c r="B13" i="15" l="1"/>
  <c r="B13" i="14"/>
  <c r="A9" i="14"/>
  <c r="A15" i="13"/>
  <c r="B13" i="12"/>
  <c r="A9" i="12"/>
  <c r="B13" i="11"/>
  <c r="B13" i="9"/>
  <c r="A9" i="6"/>
  <c r="B13" i="5"/>
  <c r="A15" i="6"/>
  <c r="B9" i="6"/>
  <c r="B9" i="5"/>
  <c r="A9" i="5"/>
</calcChain>
</file>

<file path=xl/sharedStrings.xml><?xml version="1.0" encoding="utf-8"?>
<sst xmlns="http://schemas.openxmlformats.org/spreadsheetml/2006/main" count="417" uniqueCount="95">
  <si>
    <t>January</t>
  </si>
  <si>
    <t>EXPENSES</t>
  </si>
  <si>
    <t>INCOME</t>
  </si>
  <si>
    <t>CATEGORY</t>
  </si>
  <si>
    <t>BUDGETED</t>
  </si>
  <si>
    <t>SPENT</t>
  </si>
  <si>
    <t>CASH FLOW</t>
  </si>
  <si>
    <t>NAME</t>
  </si>
  <si>
    <t>AMOUNT</t>
  </si>
  <si>
    <t>TOTAL INCOME</t>
  </si>
  <si>
    <t>TOTAL BUDGETED</t>
  </si>
  <si>
    <t>REMAINING $ TO BUDGET</t>
  </si>
  <si>
    <t>$</t>
  </si>
  <si>
    <t>%</t>
  </si>
  <si>
    <t>SPENT THIS MONTH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</si>
  <si>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</si>
  <si>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</si>
  <si>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</si>
  <si>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</si>
  <si>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</si>
  <si>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</si>
  <si>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</si>
  <si>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</si>
  <si>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</si>
  <si>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</si>
  <si>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</si>
  <si>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Default Major</t>
  </si>
  <si>
    <t>Defined Major</t>
  </si>
  <si>
    <t>Defined Minor</t>
  </si>
  <si>
    <t>Modification Page</t>
  </si>
  <si>
    <t>Category Creation</t>
  </si>
  <si>
    <t>Major Category</t>
  </si>
  <si>
    <t>Name</t>
  </si>
  <si>
    <t>Minor Category</t>
  </si>
  <si>
    <t>Major</t>
  </si>
  <si>
    <t>Category Removal</t>
  </si>
  <si>
    <t>Categories</t>
  </si>
  <si>
    <t>Minor</t>
  </si>
  <si>
    <t xml:space="preserve">This is the page that will allow you to easily create and remove Major and Minor expense categories. 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</si>
  <si>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</si>
  <si>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</si>
  <si>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</si>
  <si>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</si>
  <si>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</si>
  <si>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</si>
  <si>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</si>
  <si>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</si>
  <si>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</si>
  <si>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</si>
  <si>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</si>
  <si>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</si>
  <si>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INVESTMENTS</t>
  </si>
  <si>
    <t>List of Minors</t>
  </si>
  <si>
    <t>RENT</t>
  </si>
  <si>
    <t>User changes</t>
  </si>
  <si>
    <t>User Inputs</t>
  </si>
  <si>
    <t>ELECTRIC</t>
  </si>
  <si>
    <t>INTERNET</t>
  </si>
  <si>
    <t>EMERGENCY FUND</t>
  </si>
  <si>
    <t>Default Minors</t>
  </si>
  <si>
    <t>GAS</t>
  </si>
  <si>
    <t>PHONE</t>
  </si>
  <si>
    <t>OIL</t>
  </si>
  <si>
    <t>REPAIRS</t>
  </si>
  <si>
    <t>LICENSE &amp; TAXES</t>
  </si>
  <si>
    <t>CAR REPLACEMENT</t>
  </si>
  <si>
    <t>MEDICATIONS</t>
  </si>
  <si>
    <t>BILLS</t>
  </si>
  <si>
    <t>HEALTH</t>
  </si>
  <si>
    <t>RENTAL</t>
  </si>
  <si>
    <t>AUTO</t>
  </si>
  <si>
    <t>CHILDCARE</t>
  </si>
  <si>
    <t>COSMETICS</t>
  </si>
  <si>
    <t>TOILETRIES</t>
  </si>
  <si>
    <t>SUBSCRIPTIONS</t>
  </si>
  <si>
    <t>REPLACE FURNITURE</t>
  </si>
  <si>
    <t>POCKET MONEY (HIS)</t>
  </si>
  <si>
    <t>POCKET MONEY (HERS)</t>
  </si>
  <si>
    <t>ALLOWANCE (KIDS)</t>
  </si>
  <si>
    <t>BABY/KID SUPPLIES</t>
  </si>
  <si>
    <t>GIFTS</t>
  </si>
  <si>
    <t>MISCELLANEOUS</t>
  </si>
  <si>
    <t>ADULTS</t>
  </si>
  <si>
    <t>CHILDREN</t>
  </si>
  <si>
    <t>ENTERTAINMENT</t>
  </si>
  <si>
    <t>VACATION</t>
  </si>
  <si>
    <t>TUITION</t>
  </si>
  <si>
    <t>BOOKS</t>
  </si>
  <si>
    <t>EATING OUT</t>
  </si>
  <si>
    <t>GROCERIES</t>
  </si>
  <si>
    <t>TITHES</t>
  </si>
  <si>
    <t>SUPPLIES</t>
  </si>
  <si>
    <t>SHIPPING/LABELS</t>
  </si>
  <si>
    <t>FEES</t>
  </si>
  <si>
    <t>Tree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</si>
</sst>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00000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/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1" xfId="0" applyFill="1" applyBorder="1"/>
    <xf numFmtId="0" fontId="0" fillId="3" borderId="11" xfId="0" applyFill="1" applyBorder="1" applyAlignment="1">
      <alignment horizontal="left"/>
    </xf>
    <xf numFmtId="0" fontId="0" fillId="2" borderId="16" xfId="0" applyFill="1" applyBorder="1"/>
    <xf numFmtId="0" fontId="0" fillId="3" borderId="16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0" fillId="2" borderId="22" xfId="0" applyFill="1" applyBorder="1"/>
    <xf numFmtId="0" fontId="0" fillId="3" borderId="22" xfId="0" applyFill="1" applyBorder="1" applyAlignment="1">
      <alignment horizontal="left"/>
    </xf>
    <xf numFmtId="8" fontId="0" fillId="0" borderId="20" xfId="0" applyNumberFormat="1" applyBorder="1" applyAlignment="1">
      <alignment horizontal="center"/>
    </xf>
    <xf numFmtId="9" fontId="0" fillId="0" borderId="21" xfId="2" applyFont="1" applyBorder="1" applyAlignment="1">
      <alignment horizontal="center"/>
    </xf>
    <xf numFmtId="164" fontId="0" fillId="0" borderId="0" xfId="0" applyNumberFormat="1"/>
    <xf numFmtId="165" fontId="0" fillId="0" borderId="20" xfId="1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5" fontId="0" fillId="3" borderId="17" xfId="0" applyNumberFormat="1" applyFill="1" applyBorder="1" applyAlignment="1">
      <alignment horizontal="center"/>
    </xf>
    <xf numFmtId="165" fontId="0" fillId="3" borderId="23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6" xfId="0" applyNumberFormat="1" applyFill="1" applyBorder="1" applyAlignment="1">
      <alignment horizontal="center"/>
    </xf>
    <xf numFmtId="165" fontId="0" fillId="3" borderId="22" xfId="0" applyNumberFormat="1" applyFill="1" applyBorder="1" applyAlignment="1">
      <alignment horizontal="center"/>
    </xf>
    <xf numFmtId="0" fontId="0" fillId="3" borderId="24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0" fillId="0" borderId="30" xfId="0" applyBorder="1"/>
    <xf numFmtId="0" fontId="0" fillId="0" borderId="24" xfId="0" applyBorder="1"/>
    <xf numFmtId="0" fontId="0" fillId="0" borderId="31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2" xfId="0" applyBorder="1"/>
    <xf numFmtId="0" fontId="0" fillId="0" borderId="0" xfId="0"/>
    <xf numFmtId="0" fontId="0" fillId="4" borderId="0" xfId="0" applyFill="1"/>
    <xf numFmtId="0" fontId="0" fillId="5" borderId="0" xfId="0" applyFill="1"/>
    <xf numFmtId="0" fontId="2" fillId="0" borderId="0" xfId="0" applyFont="1"/>
    <xf numFmtId="0" fontId="2" fillId="0" borderId="38" xfId="0" applyFont="1" applyBorder="1"/>
    <xf numFmtId="0" fontId="0" fillId="0" borderId="38" xfId="0" applyBorder="1"/>
    <xf numFmtId="0" fontId="0" fillId="0" borderId="1" xfId="0" applyBorder="1"/>
    <xf numFmtId="0" fontId="0" fillId="0" borderId="0" xfId="0" applyFill="1"/>
    <xf numFmtId="0" fontId="0" fillId="0" borderId="10" xfId="0" applyFill="1" applyBorder="1"/>
    <xf numFmtId="0" fontId="0" fillId="0" borderId="15" xfId="0" applyFill="1" applyBorder="1"/>
    <xf numFmtId="0" fontId="0" fillId="0" borderId="0" xfId="0" applyFont="1"/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Fill="1" applyBorder="1"/>
  </cellXfs>
  <cellStyles count="3">
    <cellStyle name="Currency" xfId="1" builtinId="4"/>
    <cellStyle name="Normal" xfId="0" builtinId="0"/>
    <cellStyle name="Percent" xfId="2" builtinId="5"/>
  </cellStyles>
  <dxfs count="29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26" fmlaLink="Hidden!$G$9" fmlaRange="Hidden!$BJ$2:$BJ$300" noThreeD="1" sel="1" val="0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175260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B708D664-063C-439B-9CA4-022BD066F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CD6AF14B-8E47-4410-87CE-4670151B6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152400</xdr:colOff>
          <xdr:row>20</xdr:row>
          <xdr:rowOff>175260</xdr:rowOff>
        </xdr:to>
        <xdr:sp macro="" textlink="">
          <xdr:nvSpPr>
            <xdr:cNvPr id="6156" name="List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4A9C1B39-595F-43AF-810D-224780FEB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7620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5C76CC19-EBF6-4669-B11E-F4EB904EC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11974-1960-4B00-97B7-FAB32C89CC94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37FD-60DF-4C5C-BE2A-0A9DBC107C1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A332-7F8A-4E9D-B6DE-E5665F78531C}">
  <sheetPr codeName="Sheet3"/>
  <dimension ref="A1:I93"/>
  <sheetViews>
    <sheetView workbookViewId="0">
      <selection activeCell="C6" sqref="C6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style="14" customWidth="1"/>
    <col min="8" max="8" width="16.33203125" bestFit="1" customWidth="1"/>
    <col min="9" max="9" width="26.6640625" customWidth="1"/>
  </cols>
  <sheetData>
    <row r="1" spans="1:9" x14ac:dyDescent="0.3">
      <c r="A1" s="56" t="s">
        <v>29</v>
      </c>
      <c r="B1" s="56"/>
      <c r="C1" s="56"/>
      <c r="D1" s="56"/>
      <c r="E1" s="56"/>
      <c r="F1" s="56"/>
      <c r="G1" s="56"/>
      <c r="H1" s="56"/>
      <c r="I1" s="56"/>
    </row>
    <row r="2" spans="1:9" x14ac:dyDescent="0.3">
      <c r="A2" s="56" t="s">
        <v>38</v>
      </c>
      <c r="B2" s="56"/>
      <c r="C2" s="56"/>
      <c r="D2" s="56"/>
      <c r="E2" s="56"/>
      <c r="F2" s="56"/>
      <c r="G2" s="56"/>
      <c r="H2" s="56"/>
      <c r="I2" s="56"/>
    </row>
    <row r="3" spans="1:9" ht="15" thickBot="1" x14ac:dyDescent="0.35"/>
    <row r="4" spans="1:9" ht="15" thickBot="1" x14ac:dyDescent="0.35">
      <c r="A4" s="57" t="s">
        <v>30</v>
      </c>
      <c r="B4" s="58"/>
      <c r="C4" s="58"/>
      <c r="D4" s="58"/>
      <c r="E4" s="58"/>
      <c r="F4" s="59"/>
      <c r="H4" s="43" t="s">
        <v>34</v>
      </c>
      <c r="I4" s="43" t="s">
        <v>37</v>
      </c>
    </row>
    <row r="5" spans="1:9" x14ac:dyDescent="0.3">
      <c r="A5" s="40"/>
      <c r="B5" s="31"/>
      <c r="C5" s="32" t="s">
        <v>31</v>
      </c>
      <c r="D5" s="32"/>
      <c r="E5" s="33"/>
      <c r="F5" s="41"/>
      <c r="H5" t="str">
        <f>IF(ISBLANK(Hidden!BG2),"",Hidden!BG2)</f>
        <v/>
      </c>
      <c r="I5" s="45" t="str">
        <f>IF(ISBLANK(Hidden!BH2),"",Hidden!BH2)</f>
        <v/>
      </c>
    </row>
    <row r="6" spans="1:9" x14ac:dyDescent="0.3">
      <c r="A6" s="40"/>
      <c r="B6" s="37" t="s">
        <v>32</v>
      </c>
      <c r="C6" s="30"/>
      <c r="D6" s="38"/>
      <c r="E6" s="39"/>
      <c r="F6" s="41"/>
      <c r="H6" s="45" t="str">
        <f>IF(ISBLANK(Hidden!BG3),"",Hidden!BG3)</f>
        <v/>
      </c>
      <c r="I6" s="45" t="str">
        <f>IF(ISBLANK(Hidden!BH3),"",Hidden!BH3)</f>
        <v/>
      </c>
    </row>
    <row r="7" spans="1:9" x14ac:dyDescent="0.3">
      <c r="A7" s="40"/>
      <c r="B7" s="35"/>
      <c r="C7" s="35"/>
      <c r="D7" s="35"/>
      <c r="E7" s="35"/>
      <c r="F7" s="41"/>
      <c r="H7" s="45" t="str">
        <f>IF(ISBLANK(Hidden!BG4),"",Hidden!BG4)</f>
        <v/>
      </c>
      <c r="I7" s="45" t="str">
        <f>IF(ISBLANK(Hidden!BH4),"",Hidden!BH4)</f>
        <v/>
      </c>
    </row>
    <row r="8" spans="1:9" x14ac:dyDescent="0.3">
      <c r="A8" s="40"/>
      <c r="B8" s="31"/>
      <c r="C8" s="32" t="s">
        <v>33</v>
      </c>
      <c r="D8" s="32"/>
      <c r="E8" s="33"/>
      <c r="F8" s="41"/>
      <c r="H8" s="45" t="str">
        <f>IF(ISBLANK(Hidden!BG5),"",Hidden!BG5)</f>
        <v/>
      </c>
      <c r="I8" s="45" t="str">
        <f>IF(ISBLANK(Hidden!BH5),"",Hidden!BH5)</f>
        <v/>
      </c>
    </row>
    <row r="9" spans="1:9" x14ac:dyDescent="0.3">
      <c r="A9" s="40"/>
      <c r="B9" s="34" t="s">
        <v>32</v>
      </c>
      <c r="C9" s="30"/>
      <c r="D9" s="35"/>
      <c r="E9" s="36"/>
      <c r="F9" s="41"/>
      <c r="H9" s="45" t="str">
        <f>IF(ISBLANK(Hidden!BG6),"",Hidden!BG6)</f>
        <v/>
      </c>
      <c r="I9" s="45" t="str">
        <f>IF(ISBLANK(Hidden!BH6),"",Hidden!BH6)</f>
        <v/>
      </c>
    </row>
    <row r="10" spans="1:9" x14ac:dyDescent="0.3">
      <c r="A10" s="40"/>
      <c r="B10" s="37" t="s">
        <v>34</v>
      </c>
      <c r="C10" s="30" t="s">
        <v>51</v>
      </c>
      <c r="D10" s="38"/>
      <c r="E10" s="39"/>
      <c r="F10" s="41"/>
      <c r="H10" s="45" t="str">
        <f>IF(ISBLANK(Hidden!BG7),"",Hidden!BG7)</f>
        <v/>
      </c>
      <c r="I10" s="45" t="str">
        <f>IF(ISBLANK(Hidden!BH7),"",Hidden!BH7)</f>
        <v/>
      </c>
    </row>
    <row r="11" spans="1:9" ht="15" thickBot="1" x14ac:dyDescent="0.35">
      <c r="A11" s="42"/>
      <c r="B11" s="43"/>
      <c r="C11" s="43"/>
      <c r="D11" s="43"/>
      <c r="E11" s="43"/>
      <c r="F11" s="44"/>
      <c r="H11" s="45" t="str">
        <f>IF(ISBLANK(Hidden!BG8),"",Hidden!BG8)</f>
        <v/>
      </c>
      <c r="I11" s="45" t="str">
        <f>IF(ISBLANK(Hidden!BH8),"",Hidden!BH8)</f>
        <v/>
      </c>
    </row>
    <row r="12" spans="1:9" x14ac:dyDescent="0.3">
      <c r="A12" s="56" t="s">
        <v>35</v>
      </c>
      <c r="B12" s="56"/>
      <c r="C12" s="56"/>
      <c r="D12" s="56"/>
      <c r="E12" s="56"/>
      <c r="F12" s="56"/>
      <c r="H12" s="45" t="str">
        <f>IF(ISBLANK(Hidden!BG9),"",Hidden!BG9)</f>
        <v/>
      </c>
      <c r="I12" s="45" t="str">
        <f>IF(ISBLANK(Hidden!BH9),"",Hidden!BH9)</f>
        <v/>
      </c>
    </row>
    <row r="13" spans="1:9" x14ac:dyDescent="0.3">
      <c r="C13" t="s">
        <v>36</v>
      </c>
      <c r="H13" s="45" t="str">
        <f>IF(ISBLANK(Hidden!BG10),"",Hidden!BG10)</f>
        <v/>
      </c>
      <c r="I13" s="45" t="str">
        <f>IF(ISBLANK(Hidden!BH10),"",Hidden!BH10)</f>
        <v/>
      </c>
    </row>
    <row r="14" spans="1:9" x14ac:dyDescent="0.3">
      <c r="B14" t="s">
        <v>32</v>
      </c>
      <c r="H14" s="45" t="str">
        <f>IF(ISBLANK(Hidden!BG11),"",Hidden!BG11)</f>
        <v/>
      </c>
      <c r="I14" s="45" t="str">
        <f>IF(ISBLANK(Hidden!BH11),"",Hidden!BH11)</f>
        <v/>
      </c>
    </row>
    <row r="15" spans="1:9" x14ac:dyDescent="0.3">
      <c r="H15" s="45" t="str">
        <f>IF(ISBLANK(Hidden!BG12),"",Hidden!BG12)</f>
        <v/>
      </c>
      <c r="I15" s="45" t="str">
        <f>IF(ISBLANK(Hidden!BH12),"",Hidden!BH12)</f>
        <v/>
      </c>
    </row>
    <row r="16" spans="1:9" x14ac:dyDescent="0.3">
      <c r="H16" s="45" t="str">
        <f>IF(ISBLANK(Hidden!BG13),"",Hidden!BG13)</f>
        <v/>
      </c>
      <c r="I16" s="45" t="str">
        <f>IF(ISBLANK(Hidden!BH13),"",Hidden!BH13)</f>
        <v/>
      </c>
    </row>
    <row r="17" spans="8:9" x14ac:dyDescent="0.3">
      <c r="H17" s="45" t="str">
        <f>IF(ISBLANK(Hidden!BG14),"",Hidden!BG14)</f>
        <v/>
      </c>
      <c r="I17" s="45" t="str">
        <f>IF(ISBLANK(Hidden!BH14),"",Hidden!BH14)</f>
        <v/>
      </c>
    </row>
    <row r="18" spans="8:9" x14ac:dyDescent="0.3">
      <c r="H18" s="45" t="str">
        <f>IF(ISBLANK(Hidden!BG15),"",Hidden!BG15)</f>
        <v/>
      </c>
      <c r="I18" s="45" t="str">
        <f>IF(ISBLANK(Hidden!BH15),"",Hidden!BH15)</f>
        <v/>
      </c>
    </row>
    <row r="19" spans="8:9" x14ac:dyDescent="0.3">
      <c r="H19" s="45" t="str">
        <f>IF(ISBLANK(Hidden!BG16),"",Hidden!BG16)</f>
        <v/>
      </c>
      <c r="I19" s="45" t="str">
        <f>IF(ISBLANK(Hidden!BH16),"",Hidden!BH16)</f>
        <v/>
      </c>
    </row>
    <row r="20" spans="8:9" x14ac:dyDescent="0.3">
      <c r="H20" s="45" t="str">
        <f>IF(ISBLANK(Hidden!BG17),"",Hidden!BG17)</f>
        <v/>
      </c>
      <c r="I20" s="45" t="str">
        <f>IF(ISBLANK(Hidden!BH17),"",Hidden!BH17)</f>
        <v/>
      </c>
    </row>
    <row r="21" spans="8:9" x14ac:dyDescent="0.3">
      <c r="H21" s="45" t="str">
        <f>IF(ISBLANK(Hidden!BG18),"",Hidden!BG18)</f>
        <v/>
      </c>
      <c r="I21" s="45" t="str">
        <f>IF(ISBLANK(Hidden!BH18),"",Hidden!BH18)</f>
        <v/>
      </c>
    </row>
    <row r="22" spans="8:9" x14ac:dyDescent="0.3">
      <c r="H22" s="45" t="str">
        <f>IF(ISBLANK(Hidden!BG19),"",Hidden!BG19)</f>
        <v/>
      </c>
      <c r="I22" s="45" t="str">
        <f>IF(ISBLANK(Hidden!BH19),"",Hidden!BH19)</f>
        <v/>
      </c>
    </row>
    <row r="23" spans="8:9" x14ac:dyDescent="0.3">
      <c r="H23" s="45" t="str">
        <f>IF(ISBLANK(Hidden!BG20),"",Hidden!BG20)</f>
        <v/>
      </c>
      <c r="I23" s="45" t="str">
        <f>IF(ISBLANK(Hidden!BH20),"",Hidden!BH20)</f>
        <v/>
      </c>
    </row>
    <row r="24" spans="8:9" x14ac:dyDescent="0.3">
      <c r="H24" s="45" t="str">
        <f>IF(ISBLANK(Hidden!BG21),"",Hidden!BG21)</f>
        <v/>
      </c>
      <c r="I24" s="45" t="str">
        <f>IF(ISBLANK(Hidden!BH21),"",Hidden!BH21)</f>
        <v/>
      </c>
    </row>
    <row r="25" spans="8:9" x14ac:dyDescent="0.3">
      <c r="H25" s="45" t="str">
        <f>IF(ISBLANK(Hidden!BG22),"",Hidden!BG22)</f>
        <v/>
      </c>
      <c r="I25" s="45" t="str">
        <f>IF(ISBLANK(Hidden!BH22),"",Hidden!BH22)</f>
        <v/>
      </c>
    </row>
    <row r="26" spans="8:9" x14ac:dyDescent="0.3">
      <c r="H26" s="45" t="str">
        <f>IF(ISBLANK(Hidden!BG23),"",Hidden!BG23)</f>
        <v/>
      </c>
      <c r="I26" s="45" t="str">
        <f>IF(ISBLANK(Hidden!BH23),"",Hidden!BH23)</f>
        <v/>
      </c>
    </row>
    <row r="27" spans="8:9" x14ac:dyDescent="0.3">
      <c r="H27" s="45" t="str">
        <f>IF(ISBLANK(Hidden!BG24),"",Hidden!BG24)</f>
        <v/>
      </c>
      <c r="I27" s="45" t="str">
        <f>IF(ISBLANK(Hidden!BH24),"",Hidden!BH24)</f>
        <v/>
      </c>
    </row>
    <row r="28" spans="8:9" x14ac:dyDescent="0.3">
      <c r="H28" s="45" t="str">
        <f>IF(ISBLANK(Hidden!BG25),"",Hidden!BG25)</f>
        <v/>
      </c>
      <c r="I28" s="45" t="str">
        <f>IF(ISBLANK(Hidden!BH25),"",Hidden!BH25)</f>
        <v/>
      </c>
    </row>
    <row r="29" spans="8:9" x14ac:dyDescent="0.3">
      <c r="H29" s="45" t="str">
        <f>IF(ISBLANK(Hidden!BG26),"",Hidden!BG26)</f>
        <v/>
      </c>
      <c r="I29" s="45" t="str">
        <f>IF(ISBLANK(Hidden!BH26),"",Hidden!BH26)</f>
        <v/>
      </c>
    </row>
    <row r="30" spans="8:9" x14ac:dyDescent="0.3">
      <c r="H30" s="45" t="str">
        <f>IF(ISBLANK(Hidden!BG27),"",Hidden!BG27)</f>
        <v/>
      </c>
      <c r="I30" s="45" t="str">
        <f>IF(ISBLANK(Hidden!BH27),"",Hidden!BH27)</f>
        <v/>
      </c>
    </row>
    <row r="31" spans="8:9" x14ac:dyDescent="0.3">
      <c r="H31" s="45" t="str">
        <f>IF(ISBLANK(Hidden!BG28),"",Hidden!BG28)</f>
        <v/>
      </c>
      <c r="I31" s="45" t="str">
        <f>IF(ISBLANK(Hidden!BH28),"",Hidden!BH28)</f>
        <v/>
      </c>
    </row>
    <row r="32" spans="8:9" x14ac:dyDescent="0.3">
      <c r="H32" s="45" t="str">
        <f>IF(ISBLANK(Hidden!BG29),"",Hidden!BG29)</f>
        <v/>
      </c>
      <c r="I32" s="45" t="str">
        <f>IF(ISBLANK(Hidden!BH29),"",Hidden!BH29)</f>
        <v/>
      </c>
    </row>
    <row r="33" spans="8:9" x14ac:dyDescent="0.3">
      <c r="H33" s="45" t="str">
        <f>IF(ISBLANK(Hidden!BG30),"",Hidden!BG30)</f>
        <v/>
      </c>
      <c r="I33" s="45" t="str">
        <f>IF(ISBLANK(Hidden!BH30),"",Hidden!BH30)</f>
        <v/>
      </c>
    </row>
    <row r="34" spans="8:9" x14ac:dyDescent="0.3">
      <c r="H34" s="45" t="str">
        <f>IF(ISBLANK(Hidden!BG31),"",Hidden!BG31)</f>
        <v/>
      </c>
      <c r="I34" s="45" t="str">
        <f>IF(ISBLANK(Hidden!BH31),"",Hidden!BH31)</f>
        <v/>
      </c>
    </row>
    <row r="35" spans="8:9" x14ac:dyDescent="0.3">
      <c r="H35" s="45" t="str">
        <f>IF(ISBLANK(Hidden!BG32),"",Hidden!BG32)</f>
        <v/>
      </c>
      <c r="I35" s="45" t="str">
        <f>IF(ISBLANK(Hidden!BH32),"",Hidden!BH32)</f>
        <v/>
      </c>
    </row>
    <row r="36" spans="8:9" x14ac:dyDescent="0.3">
      <c r="H36" s="45" t="str">
        <f>IF(ISBLANK(Hidden!BG33),"",Hidden!BG33)</f>
        <v/>
      </c>
      <c r="I36" s="45" t="str">
        <f>IF(ISBLANK(Hidden!BH33),"",Hidden!BH33)</f>
        <v/>
      </c>
    </row>
    <row r="37" spans="8:9" x14ac:dyDescent="0.3">
      <c r="H37" s="45" t="str">
        <f>IF(ISBLANK(Hidden!BG34),"",Hidden!BG34)</f>
        <v/>
      </c>
      <c r="I37" s="45" t="str">
        <f>IF(ISBLANK(Hidden!BH34),"",Hidden!BH34)</f>
        <v/>
      </c>
    </row>
    <row r="38" spans="8:9" x14ac:dyDescent="0.3">
      <c r="H38" s="45" t="str">
        <f>IF(ISBLANK(Hidden!BG35),"",Hidden!BG35)</f>
        <v/>
      </c>
      <c r="I38" s="45" t="str">
        <f>IF(ISBLANK(Hidden!BH35),"",Hidden!BH35)</f>
        <v/>
      </c>
    </row>
    <row r="39" spans="8:9" x14ac:dyDescent="0.3">
      <c r="H39" s="45" t="str">
        <f>IF(ISBLANK(Hidden!BG36),"",Hidden!BG36)</f>
        <v/>
      </c>
      <c r="I39" s="45" t="str">
        <f>IF(ISBLANK(Hidden!BH36),"",Hidden!BH36)</f>
        <v/>
      </c>
    </row>
    <row r="40" spans="8:9" x14ac:dyDescent="0.3">
      <c r="H40" s="45" t="str">
        <f>IF(ISBLANK(Hidden!BG37),"",Hidden!BG37)</f>
        <v/>
      </c>
      <c r="I40" s="45" t="str">
        <f>IF(ISBLANK(Hidden!BH37),"",Hidden!BH37)</f>
        <v/>
      </c>
    </row>
    <row r="41" spans="8:9" x14ac:dyDescent="0.3">
      <c r="H41" s="45" t="str">
        <f>IF(ISBLANK(Hidden!BG38),"",Hidden!BG38)</f>
        <v/>
      </c>
      <c r="I41" s="45" t="str">
        <f>IF(ISBLANK(Hidden!BH38),"",Hidden!BH38)</f>
        <v/>
      </c>
    </row>
    <row r="42" spans="8:9" x14ac:dyDescent="0.3">
      <c r="H42" s="45" t="str">
        <f>IF(ISBLANK(Hidden!BG39),"",Hidden!BG39)</f>
        <v/>
      </c>
      <c r="I42" s="45" t="str">
        <f>IF(ISBLANK(Hidden!BH39),"",Hidden!BH39)</f>
        <v/>
      </c>
    </row>
    <row r="43" spans="8:9" x14ac:dyDescent="0.3">
      <c r="H43" s="45" t="str">
        <f>IF(ISBLANK(Hidden!BG40),"",Hidden!BG40)</f>
        <v/>
      </c>
      <c r="I43" s="45" t="str">
        <f>IF(ISBLANK(Hidden!BH40),"",Hidden!BH40)</f>
        <v/>
      </c>
    </row>
    <row r="44" spans="8:9" x14ac:dyDescent="0.3">
      <c r="H44" s="45" t="str">
        <f>IF(ISBLANK(Hidden!BG41),"",Hidden!BG41)</f>
        <v/>
      </c>
      <c r="I44" s="45" t="str">
        <f>IF(ISBLANK(Hidden!BH41),"",Hidden!BH41)</f>
        <v/>
      </c>
    </row>
    <row r="45" spans="8:9" x14ac:dyDescent="0.3">
      <c r="H45" s="45" t="str">
        <f>IF(ISBLANK(Hidden!BG42),"",Hidden!BG42)</f>
        <v/>
      </c>
      <c r="I45" s="45" t="str">
        <f>IF(ISBLANK(Hidden!BH42),"",Hidden!BH42)</f>
        <v/>
      </c>
    </row>
    <row r="46" spans="8:9" x14ac:dyDescent="0.3">
      <c r="H46" s="45" t="str">
        <f>IF(ISBLANK(Hidden!BG43),"",Hidden!BG43)</f>
        <v/>
      </c>
      <c r="I46" s="45" t="str">
        <f>IF(ISBLANK(Hidden!BH43),"",Hidden!BH43)</f>
        <v/>
      </c>
    </row>
    <row r="47" spans="8:9" x14ac:dyDescent="0.3">
      <c r="H47" s="45" t="str">
        <f>IF(ISBLANK(Hidden!BG44),"",Hidden!BG44)</f>
        <v/>
      </c>
      <c r="I47" s="45" t="str">
        <f>IF(ISBLANK(Hidden!BH44),"",Hidden!BH44)</f>
        <v/>
      </c>
    </row>
    <row r="48" spans="8:9" x14ac:dyDescent="0.3">
      <c r="H48" s="45" t="str">
        <f>IF(ISBLANK(Hidden!BG45),"",Hidden!BG45)</f>
        <v/>
      </c>
      <c r="I48" s="45" t="str">
        <f>IF(ISBLANK(Hidden!BH45),"",Hidden!BH45)</f>
        <v/>
      </c>
    </row>
    <row r="49" spans="8:9" x14ac:dyDescent="0.3">
      <c r="H49" s="45" t="str">
        <f>IF(ISBLANK(Hidden!BG46),"",Hidden!BG46)</f>
        <v/>
      </c>
      <c r="I49" s="45" t="str">
        <f>IF(ISBLANK(Hidden!BH46),"",Hidden!BH46)</f>
        <v/>
      </c>
    </row>
    <row r="50" spans="8:9" x14ac:dyDescent="0.3">
      <c r="H50" s="45" t="str">
        <f>IF(ISBLANK(Hidden!BG47),"",Hidden!BG47)</f>
        <v/>
      </c>
      <c r="I50" s="45" t="str">
        <f>IF(ISBLANK(Hidden!BH47),"",Hidden!BH47)</f>
        <v/>
      </c>
    </row>
    <row r="51" spans="8:9" x14ac:dyDescent="0.3">
      <c r="H51" s="45" t="str">
        <f>IF(ISBLANK(Hidden!BG48),"",Hidden!BG48)</f>
        <v/>
      </c>
      <c r="I51" s="45" t="str">
        <f>IF(ISBLANK(Hidden!BH48),"",Hidden!BH48)</f>
        <v/>
      </c>
    </row>
    <row r="52" spans="8:9" x14ac:dyDescent="0.3">
      <c r="H52" s="45" t="str">
        <f>IF(ISBLANK(Hidden!BG49),"",Hidden!BG49)</f>
        <v/>
      </c>
      <c r="I52" s="45" t="str">
        <f>IF(ISBLANK(Hidden!BH49),"",Hidden!BH49)</f>
        <v/>
      </c>
    </row>
    <row r="53" spans="8:9" x14ac:dyDescent="0.3">
      <c r="H53" s="45" t="str">
        <f>IF(ISBLANK(Hidden!BG50),"",Hidden!BG50)</f>
        <v/>
      </c>
      <c r="I53" s="45" t="str">
        <f>IF(ISBLANK(Hidden!BH50),"",Hidden!BH50)</f>
        <v/>
      </c>
    </row>
    <row r="54" spans="8:9" x14ac:dyDescent="0.3">
      <c r="H54" s="45" t="str">
        <f>IF(ISBLANK(Hidden!BG51),"",Hidden!BG51)</f>
        <v/>
      </c>
      <c r="I54" s="45" t="str">
        <f>IF(ISBLANK(Hidden!BH51),"",Hidden!BH51)</f>
        <v/>
      </c>
    </row>
    <row r="55" spans="8:9" x14ac:dyDescent="0.3">
      <c r="H55" s="45" t="str">
        <f>IF(ISBLANK(Hidden!BG52),"",Hidden!BG52)</f>
        <v/>
      </c>
      <c r="I55" s="45" t="str">
        <f>IF(ISBLANK(Hidden!BH52),"",Hidden!BH52)</f>
        <v/>
      </c>
    </row>
    <row r="56" spans="8:9" x14ac:dyDescent="0.3">
      <c r="H56" s="45" t="str">
        <f>IF(ISBLANK(Hidden!BG53),"",Hidden!BG53)</f>
        <v/>
      </c>
      <c r="I56" s="45" t="str">
        <f>IF(ISBLANK(Hidden!BH53),"",Hidden!BH53)</f>
        <v/>
      </c>
    </row>
    <row r="57" spans="8:9" x14ac:dyDescent="0.3">
      <c r="H57" s="45" t="str">
        <f>IF(ISBLANK(Hidden!BG54),"",Hidden!BG54)</f>
        <v/>
      </c>
      <c r="I57" s="45" t="str">
        <f>IF(ISBLANK(Hidden!BH54),"",Hidden!BH54)</f>
        <v/>
      </c>
    </row>
    <row r="58" spans="8:9" x14ac:dyDescent="0.3">
      <c r="H58" s="45" t="str">
        <f>IF(ISBLANK(Hidden!BG55),"",Hidden!BG55)</f>
        <v/>
      </c>
      <c r="I58" s="45" t="str">
        <f>IF(ISBLANK(Hidden!BH55),"",Hidden!BH55)</f>
        <v/>
      </c>
    </row>
    <row r="59" spans="8:9" x14ac:dyDescent="0.3">
      <c r="H59" s="45" t="str">
        <f>IF(ISBLANK(Hidden!BG56),"",Hidden!BG56)</f>
        <v/>
      </c>
      <c r="I59" s="45" t="str">
        <f>IF(ISBLANK(Hidden!BH56),"",Hidden!BH56)</f>
        <v/>
      </c>
    </row>
    <row r="60" spans="8:9" x14ac:dyDescent="0.3">
      <c r="H60" s="45" t="str">
        <f>IF(ISBLANK(Hidden!BG57),"",Hidden!BG57)</f>
        <v/>
      </c>
      <c r="I60" s="45" t="str">
        <f>IF(ISBLANK(Hidden!BH57),"",Hidden!BH57)</f>
        <v/>
      </c>
    </row>
    <row r="61" spans="8:9" x14ac:dyDescent="0.3">
      <c r="H61" s="45" t="str">
        <f>IF(ISBLANK(Hidden!BG58),"",Hidden!BG58)</f>
        <v/>
      </c>
      <c r="I61" s="45" t="str">
        <f>IF(ISBLANK(Hidden!BH58),"",Hidden!BH58)</f>
        <v/>
      </c>
    </row>
    <row r="62" spans="8:9" x14ac:dyDescent="0.3">
      <c r="H62" s="45" t="str">
        <f>IF(ISBLANK(Hidden!BG59),"",Hidden!BG59)</f>
        <v/>
      </c>
      <c r="I62" s="45" t="str">
        <f>IF(ISBLANK(Hidden!BH59),"",Hidden!BH59)</f>
        <v/>
      </c>
    </row>
    <row r="63" spans="8:9" x14ac:dyDescent="0.3">
      <c r="H63" s="45" t="str">
        <f>IF(ISBLANK(Hidden!BG60),"",Hidden!BG60)</f>
        <v/>
      </c>
      <c r="I63" s="45" t="str">
        <f>IF(ISBLANK(Hidden!BH60),"",Hidden!BH60)</f>
        <v/>
      </c>
    </row>
    <row r="64" spans="8:9" x14ac:dyDescent="0.3">
      <c r="H64" s="45" t="str">
        <f>IF(ISBLANK(Hidden!BG61),"",Hidden!BG61)</f>
        <v/>
      </c>
      <c r="I64" s="45" t="str">
        <f>IF(ISBLANK(Hidden!BH61),"",Hidden!BH61)</f>
        <v/>
      </c>
    </row>
    <row r="65" spans="8:9" x14ac:dyDescent="0.3">
      <c r="H65" s="45" t="str">
        <f>IF(ISBLANK(Hidden!BG62),"",Hidden!BG62)</f>
        <v/>
      </c>
      <c r="I65" s="45" t="str">
        <f>IF(ISBLANK(Hidden!BH62),"",Hidden!BH62)</f>
        <v/>
      </c>
    </row>
    <row r="66" spans="8:9" x14ac:dyDescent="0.3">
      <c r="H66" s="45" t="str">
        <f>IF(ISBLANK(Hidden!BG63),"",Hidden!BG63)</f>
        <v/>
      </c>
      <c r="I66" s="45" t="str">
        <f>IF(ISBLANK(Hidden!BH63),"",Hidden!BH63)</f>
        <v/>
      </c>
    </row>
    <row r="67" spans="8:9" x14ac:dyDescent="0.3">
      <c r="H67" s="45" t="str">
        <f>IF(ISBLANK(Hidden!BG64),"",Hidden!BG64)</f>
        <v/>
      </c>
      <c r="I67" s="45" t="str">
        <f>IF(ISBLANK(Hidden!BH64),"",Hidden!BH64)</f>
        <v/>
      </c>
    </row>
    <row r="68" spans="8:9" x14ac:dyDescent="0.3">
      <c r="H68" s="45" t="str">
        <f>IF(ISBLANK(Hidden!BG65),"",Hidden!BG65)</f>
        <v/>
      </c>
      <c r="I68" s="45" t="str">
        <f>IF(ISBLANK(Hidden!BH65),"",Hidden!BH65)</f>
        <v/>
      </c>
    </row>
    <row r="69" spans="8:9" x14ac:dyDescent="0.3">
      <c r="H69" s="45" t="str">
        <f>IF(ISBLANK(Hidden!BG66),"",Hidden!BG66)</f>
        <v/>
      </c>
      <c r="I69" s="45" t="str">
        <f>IF(ISBLANK(Hidden!BH66),"",Hidden!BH66)</f>
        <v/>
      </c>
    </row>
    <row r="70" spans="8:9" x14ac:dyDescent="0.3">
      <c r="H70" s="45" t="str">
        <f>IF(ISBLANK(Hidden!BG67),"",Hidden!BG67)</f>
        <v/>
      </c>
      <c r="I70" s="45" t="str">
        <f>IF(ISBLANK(Hidden!BH67),"",Hidden!BH67)</f>
        <v/>
      </c>
    </row>
    <row r="71" spans="8:9" x14ac:dyDescent="0.3">
      <c r="H71" s="45" t="str">
        <f>IF(ISBLANK(Hidden!BG68),"",Hidden!BG68)</f>
        <v/>
      </c>
      <c r="I71" s="45" t="str">
        <f>IF(ISBLANK(Hidden!BH68),"",Hidden!BH68)</f>
        <v/>
      </c>
    </row>
    <row r="72" spans="8:9" x14ac:dyDescent="0.3">
      <c r="H72" s="45" t="str">
        <f>IF(ISBLANK(Hidden!BG69),"",Hidden!BG69)</f>
        <v/>
      </c>
      <c r="I72" s="45" t="str">
        <f>IF(ISBLANK(Hidden!BH69),"",Hidden!BH69)</f>
        <v/>
      </c>
    </row>
    <row r="73" spans="8:9" x14ac:dyDescent="0.3">
      <c r="H73" s="45" t="str">
        <f>IF(ISBLANK(Hidden!BG70),"",Hidden!BG70)</f>
        <v/>
      </c>
      <c r="I73" s="45" t="str">
        <f>IF(ISBLANK(Hidden!BH70),"",Hidden!BH70)</f>
        <v/>
      </c>
    </row>
    <row r="74" spans="8:9" x14ac:dyDescent="0.3">
      <c r="H74" s="45" t="str">
        <f>IF(ISBLANK(Hidden!BG71),"",Hidden!BG71)</f>
        <v/>
      </c>
      <c r="I74" s="45" t="str">
        <f>IF(ISBLANK(Hidden!BH71),"",Hidden!BH71)</f>
        <v/>
      </c>
    </row>
    <row r="75" spans="8:9" x14ac:dyDescent="0.3">
      <c r="H75" s="45" t="str">
        <f>IF(ISBLANK(Hidden!BG72),"",Hidden!BG72)</f>
        <v/>
      </c>
      <c r="I75" s="45" t="str">
        <f>IF(ISBLANK(Hidden!BH72),"",Hidden!BH72)</f>
        <v/>
      </c>
    </row>
    <row r="76" spans="8:9" x14ac:dyDescent="0.3">
      <c r="H76" s="45" t="str">
        <f>IF(ISBLANK(Hidden!BG73),"",Hidden!BG73)</f>
        <v/>
      </c>
      <c r="I76" s="45" t="str">
        <f>IF(ISBLANK(Hidden!BH73),"",Hidden!BH73)</f>
        <v/>
      </c>
    </row>
    <row r="77" spans="8:9" x14ac:dyDescent="0.3">
      <c r="H77" s="45" t="str">
        <f>IF(ISBLANK(Hidden!BG74),"",Hidden!BG74)</f>
        <v/>
      </c>
      <c r="I77" s="45" t="str">
        <f>IF(ISBLANK(Hidden!BH74),"",Hidden!BH74)</f>
        <v/>
      </c>
    </row>
    <row r="78" spans="8:9" x14ac:dyDescent="0.3">
      <c r="H78" s="45" t="str">
        <f>IF(ISBLANK(Hidden!BG75),"",Hidden!BG75)</f>
        <v/>
      </c>
      <c r="I78" s="45" t="str">
        <f>IF(ISBLANK(Hidden!BH75),"",Hidden!BH75)</f>
        <v/>
      </c>
    </row>
    <row r="79" spans="8:9" x14ac:dyDescent="0.3">
      <c r="H79" s="45" t="str">
        <f>IF(ISBLANK(Hidden!BG76),"",Hidden!BG76)</f>
        <v/>
      </c>
      <c r="I79" s="45" t="str">
        <f>IF(ISBLANK(Hidden!BH76),"",Hidden!BH76)</f>
        <v/>
      </c>
    </row>
    <row r="80" spans="8:9" x14ac:dyDescent="0.3">
      <c r="H80" s="45" t="str">
        <f>IF(ISBLANK(Hidden!BG77),"",Hidden!BG77)</f>
        <v/>
      </c>
      <c r="I80" s="45" t="str">
        <f>IF(ISBLANK(Hidden!BH77),"",Hidden!BH77)</f>
        <v/>
      </c>
    </row>
    <row r="81" spans="8:9" x14ac:dyDescent="0.3">
      <c r="H81" s="45" t="str">
        <f>IF(ISBLANK(Hidden!BG78),"",Hidden!BG78)</f>
        <v/>
      </c>
      <c r="I81" s="45" t="str">
        <f>IF(ISBLANK(Hidden!BH78),"",Hidden!BH78)</f>
        <v/>
      </c>
    </row>
    <row r="82" spans="8:9" x14ac:dyDescent="0.3">
      <c r="H82" s="45" t="str">
        <f>IF(ISBLANK(Hidden!BG79),"",Hidden!BG79)</f>
        <v/>
      </c>
      <c r="I82" s="45" t="str">
        <f>IF(ISBLANK(Hidden!BH79),"",Hidden!BH79)</f>
        <v/>
      </c>
    </row>
    <row r="83" spans="8:9" x14ac:dyDescent="0.3">
      <c r="H83" s="45" t="str">
        <f>IF(ISBLANK(Hidden!BG80),"",Hidden!BG80)</f>
        <v/>
      </c>
      <c r="I83" s="45" t="str">
        <f>IF(ISBLANK(Hidden!BH80),"",Hidden!BH80)</f>
        <v/>
      </c>
    </row>
    <row r="84" spans="8:9" x14ac:dyDescent="0.3">
      <c r="H84" s="45" t="str">
        <f>IF(ISBLANK(Hidden!BG81),"",Hidden!BG81)</f>
        <v/>
      </c>
      <c r="I84" s="45" t="str">
        <f>IF(ISBLANK(Hidden!BH81),"",Hidden!BH81)</f>
        <v/>
      </c>
    </row>
    <row r="85" spans="8:9" x14ac:dyDescent="0.3">
      <c r="H85" s="45" t="str">
        <f>IF(ISBLANK(Hidden!BG82),"",Hidden!BG82)</f>
        <v/>
      </c>
      <c r="I85" s="45" t="str">
        <f>IF(ISBLANK(Hidden!BH82),"",Hidden!BH82)</f>
        <v/>
      </c>
    </row>
    <row r="86" spans="8:9" x14ac:dyDescent="0.3">
      <c r="H86" s="45" t="str">
        <f>IF(ISBLANK(Hidden!BG83),"",Hidden!BG83)</f>
        <v/>
      </c>
      <c r="I86" s="45" t="str">
        <f>IF(ISBLANK(Hidden!BH83),"",Hidden!BH83)</f>
        <v/>
      </c>
    </row>
    <row r="87" spans="8:9" x14ac:dyDescent="0.3">
      <c r="H87" s="45" t="str">
        <f>IF(ISBLANK(Hidden!BG84),"",Hidden!BG84)</f>
        <v/>
      </c>
      <c r="I87" s="45" t="str">
        <f>IF(ISBLANK(Hidden!BH84),"",Hidden!BH84)</f>
        <v/>
      </c>
    </row>
    <row r="88" spans="8:9" x14ac:dyDescent="0.3">
      <c r="H88" s="45" t="str">
        <f>IF(ISBLANK(Hidden!BG85),"",Hidden!BG85)</f>
        <v/>
      </c>
      <c r="I88" s="45" t="str">
        <f>IF(ISBLANK(Hidden!BH85),"",Hidden!BH85)</f>
        <v/>
      </c>
    </row>
    <row r="89" spans="8:9" x14ac:dyDescent="0.3">
      <c r="H89" s="45" t="str">
        <f>IF(ISBLANK(Hidden!BG86),"",Hidden!BG86)</f>
        <v/>
      </c>
      <c r="I89" s="45" t="str">
        <f>IF(ISBLANK(Hidden!BH86),"",Hidden!BH86)</f>
        <v/>
      </c>
    </row>
    <row r="90" spans="8:9" x14ac:dyDescent="0.3">
      <c r="H90" s="45" t="str">
        <f>IF(ISBLANK(Hidden!BG87),"",Hidden!BG87)</f>
        <v/>
      </c>
      <c r="I90" s="45" t="str">
        <f>IF(ISBLANK(Hidden!BH87),"",Hidden!BH87)</f>
        <v/>
      </c>
    </row>
    <row r="91" spans="8:9" x14ac:dyDescent="0.3">
      <c r="H91" s="45" t="str">
        <f>IF(ISBLANK(Hidden!BG88),"",Hidden!BG88)</f>
        <v/>
      </c>
      <c r="I91" s="45" t="str">
        <f>IF(ISBLANK(Hidden!BH88),"",Hidden!BH88)</f>
        <v/>
      </c>
    </row>
    <row r="92" spans="8:9" x14ac:dyDescent="0.3">
      <c r="H92" s="45" t="str">
        <f>IF(ISBLANK(Hidden!BG89),"",Hidden!BG89)</f>
        <v/>
      </c>
      <c r="I92" s="45" t="str">
        <f>IF(ISBLANK(Hidden!BH89),"",Hidden!BH89)</f>
        <v/>
      </c>
    </row>
    <row r="93" spans="8:9" x14ac:dyDescent="0.3">
      <c r="H93" s="45" t="str">
        <f>IF(ISBLANK(Hidden!BG90),"",Hidden!BG90)</f>
        <v/>
      </c>
      <c r="I93" s="45" t="str">
        <f>IF(ISBLANK(Hidden!BH90),"",Hidden!BH90)</f>
        <v/>
      </c>
    </row>
  </sheetData>
  <mergeCells count="4">
    <mergeCell ref="A12:F12"/>
    <mergeCell ref="A4:F4"/>
    <mergeCell ref="A1:I1"/>
    <mergeCell ref="A2:I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MajorCategory">
                <anchor moveWithCells="1" sizeWithCells="1">
                  <from>
                    <xdr:col>4</xdr:col>
                    <xdr:colOff>0</xdr:colOff>
                    <xdr:row>4</xdr:row>
                    <xdr:rowOff>175260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SubCategory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faultValues">
                <anchor moveWithCells="1" sizeWithCells="1">
                  <from>
                    <xdr:col>3</xdr:col>
                    <xdr:colOff>152400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List Box 12">
              <controlPr defaultSize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3">
              <controlPr defaultSize="0" print="0" autoFill="0" autoPict="0" macro="[0]!Button13_Click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27B17-0172-437E-8C8B-1BC22B87FCB7}">
          <x14:formula1>
            <xm:f>Hidden!$B$2:$B$51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4936-5BC6-47DB-A16B-8645833AEAA5}">
  <sheetPr codeName="Sheet4"/>
  <dimension ref="A1:BM302"/>
  <sheetViews>
    <sheetView tabSelected="1" topLeftCell="F1" workbookViewId="0">
      <selection activeCell="H1" sqref="H1"/>
    </sheetView>
  </sheetViews>
  <sheetFormatPr defaultRowHeight="14.4" x14ac:dyDescent="0.3"/>
  <cols>
    <col min="1" max="1" width="16.33203125" bestFit="1" customWidth="1"/>
    <col min="2" max="2" width="25.77734375" customWidth="1"/>
    <col min="4" max="4" width="20.21875" style="45" bestFit="1" customWidth="1"/>
    <col min="5" max="5" width="20.21875" style="45" customWidth="1"/>
    <col min="6" max="6" width="25.77734375" customWidth="1"/>
    <col min="7" max="7" width="8.88671875" customWidth="1"/>
    <col min="58" max="58" width="1.5546875" style="14" customWidth="1"/>
    <col min="59" max="59" width="5.21875" style="48" customWidth="1"/>
    <col min="60" max="60" width="20.21875" bestFit="1" customWidth="1"/>
    <col min="61" max="61" width="3" style="52" bestFit="1" customWidth="1"/>
    <col min="62" max="62" width="8.88671875" style="35"/>
    <col min="64" max="64" width="8.88671875" style="55"/>
  </cols>
  <sheetData>
    <row r="1" spans="1:65" x14ac:dyDescent="0.3">
      <c r="A1" t="s">
        <v>26</v>
      </c>
      <c r="B1" t="s">
        <v>27</v>
      </c>
      <c r="C1" s="51"/>
      <c r="D1" s="45" t="s">
        <v>59</v>
      </c>
      <c r="F1" t="s">
        <v>28</v>
      </c>
      <c r="G1" t="str">
        <f>UPPER(Mod!C9)</f>
        <v/>
      </c>
      <c r="H1" s="49" t="str">
        <f>IF($B$2&lt;&gt;"", $B$2,"")</f>
        <v>INVESTMENTS</v>
      </c>
      <c r="I1" s="48" t="str">
        <f>IF($B$3&lt;&gt;"", $B$3,"")</f>
        <v>HOUSING</v>
      </c>
      <c r="J1" s="48" t="str">
        <f>IF($B$4&lt;&gt;"", $B$4,"")</f>
        <v>UTILITIES</v>
      </c>
      <c r="K1" s="48" t="str">
        <f>IF($B$5&lt;&gt;"", $B$5,"")</f>
        <v>TRANSPORTATION</v>
      </c>
      <c r="L1" s="48" t="str">
        <f>IF($B$6&lt;&gt;"", $B$6,"")</f>
        <v>MEDICAL FEES</v>
      </c>
      <c r="M1" s="48" t="str">
        <f>IF($B$7&lt;&gt;"", $B$7,"")</f>
        <v>INSURANCE</v>
      </c>
      <c r="N1" s="48" t="str">
        <f>IF($B$8&lt;&gt;"", $B$8,"")</f>
        <v>PERSONAL FUNDS</v>
      </c>
      <c r="O1" s="48" t="str">
        <f>IF($B$9&lt;&gt;"", $B$9,"")</f>
        <v>CLOTHING</v>
      </c>
      <c r="P1" s="48" t="str">
        <f>IF($B$10&lt;&gt;"", $B$10,"")</f>
        <v>RECREATION</v>
      </c>
      <c r="Q1" s="48" t="str">
        <f>IF($B$11&lt;&gt;"", $B$11,"")</f>
        <v>COLLEGE COSTS</v>
      </c>
      <c r="R1" s="48" t="str">
        <f>IF($B$12&lt;&gt;"", $B$12,"")</f>
        <v>FOOD</v>
      </c>
      <c r="S1" s="48" t="str">
        <f>IF($B$13&lt;&gt;"", $B$13,"")</f>
        <v>BUSINESS COSTS</v>
      </c>
      <c r="T1" s="48" t="str">
        <f>IF($B$14&lt;&gt;"", $B$14,"")</f>
        <v>DONATIONS</v>
      </c>
      <c r="U1" s="48" t="str">
        <f>IF($B$15&lt;&gt;"", $B$15,"")</f>
        <v/>
      </c>
      <c r="V1" s="48" t="str">
        <f>IF($B$16&lt;&gt;"", $B$16,"")</f>
        <v/>
      </c>
      <c r="W1" s="48" t="str">
        <f>IF($B$17&lt;&gt;"", $B$17,"")</f>
        <v/>
      </c>
      <c r="X1" s="48" t="str">
        <f>IF($B$18&lt;&gt;"", $B$18,"")</f>
        <v/>
      </c>
      <c r="Y1" s="48" t="str">
        <f>IF($B$19&lt;&gt;"", $B$19,"")</f>
        <v/>
      </c>
      <c r="Z1" s="48" t="str">
        <f>IF($B$20&lt;&gt;"", $B$20,"")</f>
        <v/>
      </c>
      <c r="AA1" s="48" t="str">
        <f>IF($B$21&lt;&gt;"", $B$21,"")</f>
        <v/>
      </c>
      <c r="AB1" s="48" t="str">
        <f>IF($B$22&lt;&gt;"", $B$22,"")</f>
        <v/>
      </c>
      <c r="AC1" s="48" t="str">
        <f>IF($B$23&lt;&gt;"", $B$23,"")</f>
        <v/>
      </c>
      <c r="AD1" s="48" t="str">
        <f>IF($B$24&lt;&gt;"", $B$24,"")</f>
        <v/>
      </c>
      <c r="AE1" s="48" t="str">
        <f>IF($B$25&lt;&gt;"", $B$25,"")</f>
        <v/>
      </c>
      <c r="AF1" s="48" t="str">
        <f>IF($B$26&lt;&gt;"", $B$26,"")</f>
        <v/>
      </c>
      <c r="AG1" s="48" t="str">
        <f>IF($B$27&lt;&gt;"", $B$27,"")</f>
        <v/>
      </c>
      <c r="AH1" s="48" t="str">
        <f>IF($B$28&lt;&gt;"", $B$28,"")</f>
        <v/>
      </c>
      <c r="AI1" s="48" t="str">
        <f>IF($B$29&lt;&gt;"", $B$29,"")</f>
        <v/>
      </c>
      <c r="AJ1" s="48" t="str">
        <f>IF($B$30&lt;&gt;"", $B$30,"")</f>
        <v/>
      </c>
      <c r="AK1" s="48" t="str">
        <f>IF($B$31&lt;&gt;"", $B$31,"")</f>
        <v/>
      </c>
      <c r="AL1" s="48" t="str">
        <f>IF($B$32&lt;&gt;"", $B$32,"")</f>
        <v/>
      </c>
      <c r="AM1" s="48" t="str">
        <f>IF($B$33&lt;&gt;"", $B$33,"")</f>
        <v/>
      </c>
      <c r="AN1" s="48" t="str">
        <f>IF($B$34&lt;&gt;"", $B$34,"")</f>
        <v/>
      </c>
      <c r="AO1" s="48" t="str">
        <f>IF($B$35&lt;&gt;"", $B$35,"")</f>
        <v/>
      </c>
      <c r="AP1" s="48" t="str">
        <f>IF($B$36&lt;&gt;"", $B$36,"")</f>
        <v/>
      </c>
      <c r="AQ1" s="48" t="str">
        <f>IF($B$37&lt;&gt;"", $B$37,"")</f>
        <v/>
      </c>
      <c r="AR1" s="48" t="str">
        <f>IF($B$38&lt;&gt;"", $B$38,"")</f>
        <v/>
      </c>
      <c r="AS1" s="48" t="str">
        <f>IF($B$39&lt;&gt;"", $B$39,"")</f>
        <v/>
      </c>
      <c r="AT1" s="48" t="str">
        <f>IF($B$40&lt;&gt;"", $B$40,"")</f>
        <v/>
      </c>
      <c r="AU1" s="48" t="str">
        <f>IF($B$41&lt;&gt;"", $B$41,"")</f>
        <v/>
      </c>
      <c r="AV1" s="48" t="str">
        <f>IF($B$42&lt;&gt;"", $B$42,"")</f>
        <v/>
      </c>
      <c r="AW1" s="48" t="str">
        <f>IF($B$43&lt;&gt;"", $B$43,"")</f>
        <v/>
      </c>
      <c r="AX1" s="48" t="str">
        <f>IF($B$44&lt;&gt;"", $B$44,"")</f>
        <v/>
      </c>
      <c r="AY1" s="48" t="str">
        <f>IF($B$45&lt;&gt;"", $B$45,"")</f>
        <v/>
      </c>
      <c r="AZ1" s="48" t="str">
        <f>IF($B$46&lt;&gt;"", $B$46,"")</f>
        <v/>
      </c>
      <c r="BA1" s="48" t="str">
        <f>IF($B$47&lt;&gt;"", $B$47,"")</f>
        <v/>
      </c>
      <c r="BB1" s="48" t="str">
        <f>IF($B$48&lt;&gt;"", $B$48,"")</f>
        <v/>
      </c>
      <c r="BC1" s="48" t="str">
        <f>IF($B$49&lt;&gt;"", $B$49,"")</f>
        <v/>
      </c>
      <c r="BD1" s="48" t="str">
        <f>IF($B$50&lt;&gt;"", $B$50,"")</f>
        <v/>
      </c>
      <c r="BE1" s="48" t="str">
        <f>IF($B$51&lt;&gt;"", $B$51,"")</f>
        <v/>
      </c>
      <c r="BG1" s="60" t="s">
        <v>94</v>
      </c>
      <c r="BH1" s="60"/>
    </row>
    <row r="2" spans="1:65" x14ac:dyDescent="0.3">
      <c r="A2" t="s">
        <v>51</v>
      </c>
      <c r="B2" t="s">
        <v>51</v>
      </c>
      <c r="C2" s="51" t="str">
        <f>UPPER(Mod!C6)</f>
        <v/>
      </c>
      <c r="D2" s="45" t="s">
        <v>53</v>
      </c>
      <c r="E2" s="45" t="s">
        <v>39</v>
      </c>
      <c r="F2" t="s">
        <v>52</v>
      </c>
      <c r="G2" t="str">
        <f>Mod!C10</f>
        <v>INVESTMENTS</v>
      </c>
      <c r="H2" s="50" t="str">
        <f>F3</f>
        <v>EMERGENCY FUND</v>
      </c>
      <c r="I2" t="s">
        <v>53</v>
      </c>
      <c r="J2" t="s">
        <v>56</v>
      </c>
      <c r="K2" t="s">
        <v>60</v>
      </c>
      <c r="L2" t="s">
        <v>66</v>
      </c>
      <c r="M2" t="s">
        <v>68</v>
      </c>
      <c r="N2" t="s">
        <v>71</v>
      </c>
      <c r="O2" t="s">
        <v>82</v>
      </c>
      <c r="P2" t="s">
        <v>84</v>
      </c>
      <c r="Q2" t="s">
        <v>86</v>
      </c>
      <c r="R2" t="s">
        <v>88</v>
      </c>
      <c r="S2" t="s">
        <v>91</v>
      </c>
      <c r="T2" t="s">
        <v>90</v>
      </c>
      <c r="BJ2" s="77"/>
      <c r="BL2" s="48"/>
      <c r="BM2" s="48"/>
    </row>
    <row r="3" spans="1:65" x14ac:dyDescent="0.3">
      <c r="A3" t="s">
        <v>39</v>
      </c>
      <c r="B3" s="46" t="s">
        <v>39</v>
      </c>
      <c r="C3" s="51"/>
      <c r="D3" s="45" t="s">
        <v>56</v>
      </c>
      <c r="E3" s="45" t="s">
        <v>40</v>
      </c>
      <c r="F3" s="45" t="s">
        <v>58</v>
      </c>
      <c r="J3" t="s">
        <v>60</v>
      </c>
      <c r="K3" t="s">
        <v>62</v>
      </c>
      <c r="L3" t="s">
        <v>67</v>
      </c>
      <c r="M3" t="s">
        <v>69</v>
      </c>
      <c r="N3" t="s">
        <v>72</v>
      </c>
      <c r="O3" t="s">
        <v>83</v>
      </c>
      <c r="P3" t="s">
        <v>85</v>
      </c>
      <c r="Q3" t="s">
        <v>87</v>
      </c>
      <c r="R3" t="s">
        <v>89</v>
      </c>
      <c r="S3" t="s">
        <v>92</v>
      </c>
      <c r="BJ3" s="77"/>
      <c r="BK3" s="55"/>
      <c r="BM3" s="45"/>
    </row>
    <row r="4" spans="1:65" x14ac:dyDescent="0.3">
      <c r="A4" t="s">
        <v>40</v>
      </c>
      <c r="B4" s="46" t="s">
        <v>40</v>
      </c>
      <c r="C4" s="51"/>
      <c r="D4" s="45" t="s">
        <v>60</v>
      </c>
      <c r="E4" s="45" t="s">
        <v>40</v>
      </c>
      <c r="F4" s="46" t="s">
        <v>53</v>
      </c>
      <c r="J4" t="s">
        <v>61</v>
      </c>
      <c r="K4" t="s">
        <v>63</v>
      </c>
      <c r="M4" t="s">
        <v>70</v>
      </c>
      <c r="N4" t="s">
        <v>73</v>
      </c>
      <c r="S4" t="s">
        <v>93</v>
      </c>
      <c r="BJ4" s="77"/>
      <c r="BL4" s="48"/>
      <c r="BM4" s="48"/>
    </row>
    <row r="5" spans="1:65" x14ac:dyDescent="0.3">
      <c r="A5" t="s">
        <v>41</v>
      </c>
      <c r="B5" s="46" t="s">
        <v>41</v>
      </c>
      <c r="C5" s="51"/>
      <c r="D5" s="45" t="s">
        <v>61</v>
      </c>
      <c r="E5" s="45" t="s">
        <v>40</v>
      </c>
      <c r="F5" s="46" t="s">
        <v>56</v>
      </c>
      <c r="J5" t="s">
        <v>57</v>
      </c>
      <c r="K5" t="s">
        <v>64</v>
      </c>
      <c r="N5" t="s">
        <v>74</v>
      </c>
      <c r="BJ5" s="77"/>
      <c r="BK5" s="55"/>
      <c r="BM5" s="45"/>
    </row>
    <row r="6" spans="1:65" x14ac:dyDescent="0.3">
      <c r="A6" t="s">
        <v>42</v>
      </c>
      <c r="B6" s="46" t="s">
        <v>42</v>
      </c>
      <c r="C6" s="51"/>
      <c r="D6" s="45" t="s">
        <v>57</v>
      </c>
      <c r="E6" s="45" t="s">
        <v>40</v>
      </c>
      <c r="F6" s="46" t="s">
        <v>60</v>
      </c>
      <c r="K6" t="s">
        <v>65</v>
      </c>
      <c r="N6" t="s">
        <v>75</v>
      </c>
      <c r="BJ6" s="77"/>
      <c r="BL6" s="48"/>
      <c r="BM6" s="48"/>
    </row>
    <row r="7" spans="1:65" x14ac:dyDescent="0.3">
      <c r="A7" t="s">
        <v>43</v>
      </c>
      <c r="B7" s="46" t="s">
        <v>43</v>
      </c>
      <c r="C7" s="51"/>
      <c r="D7" s="45" t="s">
        <v>60</v>
      </c>
      <c r="E7" s="45" t="s">
        <v>41</v>
      </c>
      <c r="F7" s="46" t="s">
        <v>61</v>
      </c>
      <c r="N7" t="s">
        <v>76</v>
      </c>
      <c r="BJ7" s="77"/>
      <c r="BK7" s="55"/>
      <c r="BM7" s="45"/>
    </row>
    <row r="8" spans="1:65" x14ac:dyDescent="0.3">
      <c r="A8" t="s">
        <v>44</v>
      </c>
      <c r="B8" s="46" t="s">
        <v>44</v>
      </c>
      <c r="C8" s="51"/>
      <c r="D8" s="45" t="s">
        <v>62</v>
      </c>
      <c r="E8" s="45" t="s">
        <v>41</v>
      </c>
      <c r="F8" s="46" t="s">
        <v>57</v>
      </c>
      <c r="N8" t="s">
        <v>77</v>
      </c>
      <c r="BJ8" s="77"/>
      <c r="BK8" s="55"/>
      <c r="BM8" s="45"/>
    </row>
    <row r="9" spans="1:65" x14ac:dyDescent="0.3">
      <c r="A9" t="s">
        <v>45</v>
      </c>
      <c r="B9" s="46" t="s">
        <v>45</v>
      </c>
      <c r="C9" s="51"/>
      <c r="D9" s="45" t="s">
        <v>63</v>
      </c>
      <c r="E9" s="45" t="s">
        <v>41</v>
      </c>
      <c r="F9" s="46" t="s">
        <v>60</v>
      </c>
      <c r="G9">
        <v>1</v>
      </c>
      <c r="N9" t="s">
        <v>78</v>
      </c>
      <c r="BJ9" s="77"/>
      <c r="BK9" s="55"/>
      <c r="BM9" s="45"/>
    </row>
    <row r="10" spans="1:65" x14ac:dyDescent="0.3">
      <c r="A10" t="s">
        <v>46</v>
      </c>
      <c r="B10" s="46" t="s">
        <v>46</v>
      </c>
      <c r="C10" s="51"/>
      <c r="D10" s="45" t="s">
        <v>64</v>
      </c>
      <c r="E10" s="45" t="s">
        <v>41</v>
      </c>
      <c r="F10" s="46" t="s">
        <v>62</v>
      </c>
      <c r="N10" t="s">
        <v>79</v>
      </c>
      <c r="BJ10" s="77"/>
      <c r="BK10" s="55"/>
      <c r="BM10" s="45"/>
    </row>
    <row r="11" spans="1:65" x14ac:dyDescent="0.3">
      <c r="A11" t="s">
        <v>47</v>
      </c>
      <c r="B11" s="46" t="s">
        <v>47</v>
      </c>
      <c r="C11" s="51"/>
      <c r="D11" s="45" t="s">
        <v>65</v>
      </c>
      <c r="E11" s="45" t="s">
        <v>41</v>
      </c>
      <c r="F11" s="46" t="s">
        <v>63</v>
      </c>
      <c r="N11" t="s">
        <v>80</v>
      </c>
      <c r="BJ11" s="77"/>
      <c r="BL11" s="48"/>
      <c r="BM11" s="45"/>
    </row>
    <row r="12" spans="1:65" x14ac:dyDescent="0.3">
      <c r="A12" t="s">
        <v>48</v>
      </c>
      <c r="B12" s="46" t="s">
        <v>48</v>
      </c>
      <c r="C12" s="51"/>
      <c r="D12" s="45" t="s">
        <v>66</v>
      </c>
      <c r="E12" s="45" t="s">
        <v>42</v>
      </c>
      <c r="F12" s="46" t="s">
        <v>64</v>
      </c>
      <c r="N12" t="s">
        <v>81</v>
      </c>
      <c r="BJ12" s="77"/>
      <c r="BK12" s="55"/>
      <c r="BM12" s="45"/>
    </row>
    <row r="13" spans="1:65" x14ac:dyDescent="0.3">
      <c r="A13" t="s">
        <v>49</v>
      </c>
      <c r="B13" s="46" t="s">
        <v>49</v>
      </c>
      <c r="C13" s="51"/>
      <c r="D13" s="45" t="s">
        <v>67</v>
      </c>
      <c r="E13" s="45" t="s">
        <v>42</v>
      </c>
      <c r="F13" s="46" t="s">
        <v>65</v>
      </c>
      <c r="BJ13" s="77"/>
      <c r="BK13" s="55"/>
      <c r="BM13" s="45"/>
    </row>
    <row r="14" spans="1:65" x14ac:dyDescent="0.3">
      <c r="A14" t="s">
        <v>50</v>
      </c>
      <c r="B14" s="46" t="s">
        <v>50</v>
      </c>
      <c r="C14" s="51"/>
      <c r="D14" s="45" t="s">
        <v>68</v>
      </c>
      <c r="E14" s="45" t="s">
        <v>43</v>
      </c>
      <c r="F14" s="46" t="s">
        <v>66</v>
      </c>
      <c r="BJ14" s="77"/>
      <c r="BK14" s="55"/>
      <c r="BM14" s="45"/>
    </row>
    <row r="15" spans="1:65" x14ac:dyDescent="0.3">
      <c r="B15" s="46"/>
      <c r="C15" s="51"/>
      <c r="D15" s="45" t="s">
        <v>69</v>
      </c>
      <c r="E15" s="45" t="s">
        <v>43</v>
      </c>
      <c r="F15" s="46" t="s">
        <v>67</v>
      </c>
      <c r="BJ15" s="77"/>
      <c r="BK15" s="55"/>
    </row>
    <row r="16" spans="1:65" x14ac:dyDescent="0.3">
      <c r="B16" s="46"/>
      <c r="C16" s="51"/>
      <c r="D16" s="45" t="s">
        <v>70</v>
      </c>
      <c r="E16" s="45" t="s">
        <v>43</v>
      </c>
      <c r="F16" s="46" t="s">
        <v>68</v>
      </c>
      <c r="BJ16" s="77"/>
      <c r="BK16" s="55"/>
    </row>
    <row r="17" spans="1:64" x14ac:dyDescent="0.3">
      <c r="B17" s="46"/>
      <c r="C17" s="51"/>
      <c r="D17" s="45" t="s">
        <v>71</v>
      </c>
      <c r="E17" s="45" t="s">
        <v>44</v>
      </c>
      <c r="F17" s="46" t="s">
        <v>69</v>
      </c>
      <c r="BJ17" s="77"/>
      <c r="BL17" s="48"/>
    </row>
    <row r="18" spans="1:64" x14ac:dyDescent="0.3">
      <c r="A18" s="47" t="s">
        <v>55</v>
      </c>
      <c r="B18" s="46"/>
      <c r="C18" s="51"/>
      <c r="D18" s="45" t="s">
        <v>72</v>
      </c>
      <c r="E18" s="45" t="s">
        <v>44</v>
      </c>
      <c r="F18" s="46" t="s">
        <v>70</v>
      </c>
      <c r="BJ18" s="77"/>
      <c r="BK18" s="55"/>
    </row>
    <row r="19" spans="1:64" x14ac:dyDescent="0.3">
      <c r="A19" s="46" t="s">
        <v>54</v>
      </c>
      <c r="B19" s="46"/>
      <c r="C19" s="51"/>
      <c r="D19" s="45" t="s">
        <v>73</v>
      </c>
      <c r="E19" s="45" t="s">
        <v>44</v>
      </c>
      <c r="F19" s="46" t="s">
        <v>71</v>
      </c>
      <c r="BJ19" s="77"/>
      <c r="BK19" s="55"/>
    </row>
    <row r="20" spans="1:64" x14ac:dyDescent="0.3">
      <c r="B20" s="46"/>
      <c r="C20" s="51"/>
      <c r="D20" s="45" t="s">
        <v>74</v>
      </c>
      <c r="E20" s="45" t="s">
        <v>44</v>
      </c>
      <c r="F20" s="46" t="s">
        <v>72</v>
      </c>
      <c r="BJ20" s="77"/>
      <c r="BL20" s="48"/>
    </row>
    <row r="21" spans="1:64" x14ac:dyDescent="0.3">
      <c r="B21" s="46"/>
      <c r="C21" s="51"/>
      <c r="D21" s="45" t="s">
        <v>75</v>
      </c>
      <c r="E21" s="45" t="s">
        <v>44</v>
      </c>
      <c r="F21" s="46" t="s">
        <v>73</v>
      </c>
      <c r="BJ21" s="77"/>
      <c r="BK21" s="55"/>
    </row>
    <row r="22" spans="1:64" x14ac:dyDescent="0.3">
      <c r="B22" s="46"/>
      <c r="C22" s="51"/>
      <c r="D22" s="45" t="s">
        <v>76</v>
      </c>
      <c r="E22" s="45" t="s">
        <v>44</v>
      </c>
      <c r="F22" s="46" t="s">
        <v>74</v>
      </c>
      <c r="BJ22" s="77"/>
      <c r="BK22" s="55"/>
    </row>
    <row r="23" spans="1:64" x14ac:dyDescent="0.3">
      <c r="B23" s="46"/>
      <c r="C23" s="51"/>
      <c r="D23" s="45" t="s">
        <v>77</v>
      </c>
      <c r="E23" s="45" t="s">
        <v>44</v>
      </c>
      <c r="F23" s="46" t="s">
        <v>75</v>
      </c>
      <c r="BJ23" s="77"/>
      <c r="BK23" s="55"/>
    </row>
    <row r="24" spans="1:64" x14ac:dyDescent="0.3">
      <c r="B24" s="46"/>
      <c r="C24" s="51"/>
      <c r="D24" s="45" t="s">
        <v>78</v>
      </c>
      <c r="E24" s="45" t="s">
        <v>44</v>
      </c>
      <c r="F24" s="46" t="s">
        <v>76</v>
      </c>
      <c r="BJ24" s="77"/>
      <c r="BL24" s="48"/>
    </row>
    <row r="25" spans="1:64" x14ac:dyDescent="0.3">
      <c r="B25" s="46"/>
      <c r="C25" s="51"/>
      <c r="D25" s="45" t="s">
        <v>79</v>
      </c>
      <c r="E25" s="45" t="s">
        <v>44</v>
      </c>
      <c r="F25" s="46" t="s">
        <v>77</v>
      </c>
      <c r="BJ25" s="77"/>
      <c r="BK25" s="55"/>
    </row>
    <row r="26" spans="1:64" x14ac:dyDescent="0.3">
      <c r="B26" s="46"/>
      <c r="C26" s="51"/>
      <c r="D26" s="45" t="s">
        <v>80</v>
      </c>
      <c r="E26" s="45" t="s">
        <v>44</v>
      </c>
      <c r="F26" s="46" t="s">
        <v>78</v>
      </c>
      <c r="BJ26" s="77"/>
      <c r="BK26" s="55"/>
    </row>
    <row r="27" spans="1:64" x14ac:dyDescent="0.3">
      <c r="B27" s="46"/>
      <c r="C27" s="51"/>
      <c r="D27" s="45" t="s">
        <v>81</v>
      </c>
      <c r="E27" s="45" t="s">
        <v>44</v>
      </c>
      <c r="F27" s="46" t="s">
        <v>79</v>
      </c>
      <c r="BJ27" s="77"/>
      <c r="BK27" s="55"/>
    </row>
    <row r="28" spans="1:64" x14ac:dyDescent="0.3">
      <c r="B28" s="46"/>
      <c r="C28" s="51"/>
      <c r="D28" s="45" t="s">
        <v>82</v>
      </c>
      <c r="E28" s="45" t="s">
        <v>45</v>
      </c>
      <c r="F28" s="46" t="s">
        <v>80</v>
      </c>
      <c r="BJ28" s="77"/>
      <c r="BK28" s="55"/>
    </row>
    <row r="29" spans="1:64" x14ac:dyDescent="0.3">
      <c r="B29" s="46"/>
      <c r="C29" s="51"/>
      <c r="D29" s="45" t="s">
        <v>83</v>
      </c>
      <c r="E29" s="45" t="s">
        <v>45</v>
      </c>
      <c r="F29" s="46" t="s">
        <v>81</v>
      </c>
      <c r="BJ29" s="77"/>
      <c r="BK29" s="55"/>
    </row>
    <row r="30" spans="1:64" x14ac:dyDescent="0.3">
      <c r="B30" s="46"/>
      <c r="C30" s="51"/>
      <c r="D30" s="45" t="s">
        <v>84</v>
      </c>
      <c r="E30" s="45" t="s">
        <v>46</v>
      </c>
      <c r="F30" s="46" t="s">
        <v>82</v>
      </c>
      <c r="BJ30" s="77"/>
      <c r="BK30" s="55"/>
    </row>
    <row r="31" spans="1:64" x14ac:dyDescent="0.3">
      <c r="B31" s="46"/>
      <c r="C31" s="51"/>
      <c r="D31" s="45" t="s">
        <v>85</v>
      </c>
      <c r="E31" s="45" t="s">
        <v>46</v>
      </c>
      <c r="F31" s="46" t="s">
        <v>83</v>
      </c>
      <c r="BJ31" s="77"/>
      <c r="BK31" s="55"/>
    </row>
    <row r="32" spans="1:64" x14ac:dyDescent="0.3">
      <c r="B32" s="46"/>
      <c r="C32" s="51"/>
      <c r="D32" s="45" t="s">
        <v>86</v>
      </c>
      <c r="E32" s="45" t="s">
        <v>47</v>
      </c>
      <c r="F32" s="46" t="s">
        <v>84</v>
      </c>
      <c r="BJ32" s="77"/>
      <c r="BK32" s="55"/>
    </row>
    <row r="33" spans="2:64" x14ac:dyDescent="0.3">
      <c r="B33" s="46"/>
      <c r="C33" s="51"/>
      <c r="D33" s="45" t="s">
        <v>87</v>
      </c>
      <c r="E33" s="45" t="s">
        <v>47</v>
      </c>
      <c r="F33" s="46" t="s">
        <v>85</v>
      </c>
      <c r="BJ33" s="77"/>
      <c r="BK33" s="55"/>
    </row>
    <row r="34" spans="2:64" x14ac:dyDescent="0.3">
      <c r="B34" s="46"/>
      <c r="C34" s="51"/>
      <c r="D34" s="45" t="s">
        <v>88</v>
      </c>
      <c r="E34" s="45" t="s">
        <v>48</v>
      </c>
      <c r="F34" s="46" t="s">
        <v>86</v>
      </c>
      <c r="BJ34" s="77"/>
      <c r="BK34" s="55"/>
    </row>
    <row r="35" spans="2:64" x14ac:dyDescent="0.3">
      <c r="B35" s="46"/>
      <c r="C35" s="51"/>
      <c r="D35" s="45" t="s">
        <v>89</v>
      </c>
      <c r="E35" s="45" t="s">
        <v>48</v>
      </c>
      <c r="F35" s="46" t="s">
        <v>87</v>
      </c>
      <c r="BJ35" s="77"/>
      <c r="BK35" s="55"/>
    </row>
    <row r="36" spans="2:64" x14ac:dyDescent="0.3">
      <c r="B36" s="46"/>
      <c r="C36" s="51"/>
      <c r="D36" s="45" t="s">
        <v>90</v>
      </c>
      <c r="E36" s="45" t="s">
        <v>50</v>
      </c>
      <c r="F36" s="46" t="s">
        <v>88</v>
      </c>
      <c r="BJ36" s="77"/>
      <c r="BL36" s="48"/>
    </row>
    <row r="37" spans="2:64" x14ac:dyDescent="0.3">
      <c r="B37" s="46"/>
      <c r="C37" s="51"/>
      <c r="D37" s="45" t="s">
        <v>91</v>
      </c>
      <c r="E37" s="45" t="s">
        <v>49</v>
      </c>
      <c r="F37" s="46" t="s">
        <v>89</v>
      </c>
      <c r="BJ37" s="77"/>
      <c r="BK37" s="55"/>
    </row>
    <row r="38" spans="2:64" x14ac:dyDescent="0.3">
      <c r="B38" s="46"/>
      <c r="C38" s="51"/>
      <c r="D38" s="45" t="s">
        <v>92</v>
      </c>
      <c r="E38" s="45" t="s">
        <v>49</v>
      </c>
      <c r="F38" s="46" t="s">
        <v>90</v>
      </c>
      <c r="BJ38" s="77"/>
      <c r="BK38" s="55"/>
    </row>
    <row r="39" spans="2:64" x14ac:dyDescent="0.3">
      <c r="B39" s="46"/>
      <c r="C39" s="51"/>
      <c r="D39" s="45" t="s">
        <v>93</v>
      </c>
      <c r="E39" s="45" t="s">
        <v>49</v>
      </c>
      <c r="F39" s="46" t="s">
        <v>91</v>
      </c>
      <c r="BJ39" s="77"/>
      <c r="BL39" s="48"/>
    </row>
    <row r="40" spans="2:64" x14ac:dyDescent="0.3">
      <c r="B40" s="46"/>
      <c r="C40" s="51"/>
      <c r="F40" s="46" t="s">
        <v>92</v>
      </c>
      <c r="BJ40" s="77"/>
      <c r="BK40" s="55"/>
    </row>
    <row r="41" spans="2:64" x14ac:dyDescent="0.3">
      <c r="B41" s="46"/>
      <c r="C41" s="51"/>
      <c r="F41" s="46" t="s">
        <v>93</v>
      </c>
      <c r="BJ41" s="77"/>
      <c r="BK41" s="55"/>
    </row>
    <row r="42" spans="2:64" x14ac:dyDescent="0.3">
      <c r="B42" s="46"/>
      <c r="C42" s="51"/>
      <c r="F42" s="46"/>
      <c r="BJ42" s="77"/>
      <c r="BL42" s="48"/>
    </row>
    <row r="43" spans="2:64" x14ac:dyDescent="0.3">
      <c r="B43" s="46"/>
      <c r="C43" s="51"/>
      <c r="F43" s="46"/>
      <c r="BJ43" s="77"/>
      <c r="BK43" s="55"/>
    </row>
    <row r="44" spans="2:64" x14ac:dyDescent="0.3">
      <c r="B44" s="46"/>
      <c r="C44" s="51"/>
      <c r="F44" s="46"/>
      <c r="BJ44" s="77"/>
      <c r="BK44" s="55"/>
    </row>
    <row r="45" spans="2:64" x14ac:dyDescent="0.3">
      <c r="B45" s="46"/>
      <c r="C45" s="51"/>
      <c r="F45" s="46"/>
      <c r="BJ45" s="77"/>
      <c r="BL45" s="48"/>
    </row>
    <row r="46" spans="2:64" x14ac:dyDescent="0.3">
      <c r="B46" s="46"/>
      <c r="C46" s="51"/>
      <c r="F46" s="46"/>
      <c r="BJ46" s="77"/>
      <c r="BK46" s="55"/>
    </row>
    <row r="47" spans="2:64" x14ac:dyDescent="0.3">
      <c r="B47" s="46"/>
      <c r="C47" s="51"/>
      <c r="F47" s="46"/>
      <c r="BJ47" s="77"/>
      <c r="BK47" s="55"/>
    </row>
    <row r="48" spans="2:64" x14ac:dyDescent="0.3">
      <c r="B48" s="46"/>
      <c r="C48" s="51"/>
      <c r="F48" s="46"/>
      <c r="BJ48" s="77"/>
      <c r="BL48" s="48"/>
    </row>
    <row r="49" spans="2:64" x14ac:dyDescent="0.3">
      <c r="B49" s="46"/>
      <c r="C49" s="51"/>
      <c r="F49" s="46"/>
      <c r="BJ49" s="77"/>
      <c r="BK49" s="55"/>
    </row>
    <row r="50" spans="2:64" x14ac:dyDescent="0.3">
      <c r="B50" s="46"/>
      <c r="C50" s="51"/>
      <c r="F50" s="46"/>
      <c r="BJ50" s="77"/>
      <c r="BK50" s="55"/>
    </row>
    <row r="51" spans="2:64" x14ac:dyDescent="0.3">
      <c r="B51" s="46"/>
      <c r="C51" s="51"/>
      <c r="F51" s="46"/>
      <c r="BJ51" s="77"/>
      <c r="BK51" s="55"/>
    </row>
    <row r="52" spans="2:64" x14ac:dyDescent="0.3">
      <c r="F52" s="46"/>
      <c r="BJ52" s="77"/>
      <c r="BL52" s="48"/>
    </row>
    <row r="53" spans="2:64" x14ac:dyDescent="0.3">
      <c r="F53" s="46"/>
      <c r="BJ53" s="77"/>
      <c r="BK53" s="55"/>
    </row>
    <row r="54" spans="2:64" x14ac:dyDescent="0.3">
      <c r="F54" s="46"/>
      <c r="BJ54" s="77"/>
      <c r="BL54" s="48"/>
    </row>
    <row r="55" spans="2:64" x14ac:dyDescent="0.3">
      <c r="F55" s="46"/>
      <c r="BJ55" s="77"/>
    </row>
    <row r="56" spans="2:64" x14ac:dyDescent="0.3">
      <c r="F56" s="46"/>
      <c r="BJ56" s="77"/>
    </row>
    <row r="57" spans="2:64" x14ac:dyDescent="0.3">
      <c r="F57" s="46"/>
      <c r="BJ57" s="77"/>
    </row>
    <row r="58" spans="2:64" x14ac:dyDescent="0.3">
      <c r="F58" s="46"/>
      <c r="BJ58" s="77"/>
    </row>
    <row r="59" spans="2:64" x14ac:dyDescent="0.3">
      <c r="F59" s="46"/>
      <c r="BJ59" s="77"/>
    </row>
    <row r="60" spans="2:64" x14ac:dyDescent="0.3">
      <c r="F60" s="46"/>
      <c r="BJ60" s="77"/>
    </row>
    <row r="61" spans="2:64" x14ac:dyDescent="0.3">
      <c r="F61" s="46"/>
      <c r="BJ61" s="77"/>
    </row>
    <row r="62" spans="2:64" x14ac:dyDescent="0.3">
      <c r="F62" s="46"/>
      <c r="BJ62" s="77"/>
    </row>
    <row r="63" spans="2:64" x14ac:dyDescent="0.3">
      <c r="F63" s="46"/>
      <c r="BJ63" s="77"/>
    </row>
    <row r="64" spans="2:64" x14ac:dyDescent="0.3">
      <c r="F64" s="46"/>
      <c r="BJ64" s="77"/>
    </row>
    <row r="65" spans="6:62" x14ac:dyDescent="0.3">
      <c r="F65" s="46"/>
      <c r="BJ65" s="77"/>
    </row>
    <row r="66" spans="6:62" x14ac:dyDescent="0.3">
      <c r="F66" s="46"/>
      <c r="BJ66" s="77"/>
    </row>
    <row r="67" spans="6:62" x14ac:dyDescent="0.3">
      <c r="F67" s="46"/>
      <c r="BJ67" s="77"/>
    </row>
    <row r="68" spans="6:62" x14ac:dyDescent="0.3">
      <c r="F68" s="46"/>
      <c r="BJ68" s="77"/>
    </row>
    <row r="69" spans="6:62" x14ac:dyDescent="0.3">
      <c r="F69" s="46"/>
      <c r="BJ69" s="77"/>
    </row>
    <row r="70" spans="6:62" x14ac:dyDescent="0.3">
      <c r="F70" s="46"/>
      <c r="BJ70" s="77"/>
    </row>
    <row r="71" spans="6:62" x14ac:dyDescent="0.3">
      <c r="F71" s="46"/>
      <c r="BJ71" s="77"/>
    </row>
    <row r="72" spans="6:62" x14ac:dyDescent="0.3">
      <c r="F72" s="46"/>
      <c r="BJ72" s="77"/>
    </row>
    <row r="73" spans="6:62" x14ac:dyDescent="0.3">
      <c r="F73" s="46"/>
      <c r="BJ73" s="77"/>
    </row>
    <row r="74" spans="6:62" x14ac:dyDescent="0.3">
      <c r="F74" s="46"/>
      <c r="BJ74" s="77"/>
    </row>
    <row r="75" spans="6:62" x14ac:dyDescent="0.3">
      <c r="F75" s="46"/>
      <c r="BJ75" s="77"/>
    </row>
    <row r="76" spans="6:62" x14ac:dyDescent="0.3">
      <c r="F76" s="46"/>
      <c r="BJ76" s="77"/>
    </row>
    <row r="77" spans="6:62" x14ac:dyDescent="0.3">
      <c r="F77" s="46"/>
      <c r="BJ77" s="77"/>
    </row>
    <row r="78" spans="6:62" x14ac:dyDescent="0.3">
      <c r="F78" s="46"/>
      <c r="BJ78" s="77"/>
    </row>
    <row r="79" spans="6:62" x14ac:dyDescent="0.3">
      <c r="F79" s="46"/>
      <c r="BJ79" s="77"/>
    </row>
    <row r="80" spans="6:62" x14ac:dyDescent="0.3">
      <c r="F80" s="46"/>
      <c r="BJ80" s="77"/>
    </row>
    <row r="81" spans="6:62" x14ac:dyDescent="0.3">
      <c r="F81" s="46"/>
      <c r="BJ81" s="77"/>
    </row>
    <row r="82" spans="6:62" x14ac:dyDescent="0.3">
      <c r="F82" s="46"/>
      <c r="BJ82" s="77"/>
    </row>
    <row r="83" spans="6:62" x14ac:dyDescent="0.3">
      <c r="F83" s="46"/>
      <c r="BJ83" s="77"/>
    </row>
    <row r="84" spans="6:62" x14ac:dyDescent="0.3">
      <c r="F84" s="46"/>
      <c r="BJ84" s="77"/>
    </row>
    <row r="85" spans="6:62" x14ac:dyDescent="0.3">
      <c r="F85" s="46"/>
      <c r="BJ85" s="77"/>
    </row>
    <row r="86" spans="6:62" x14ac:dyDescent="0.3">
      <c r="F86" s="46"/>
      <c r="BJ86" s="77"/>
    </row>
    <row r="87" spans="6:62" x14ac:dyDescent="0.3">
      <c r="F87" s="46"/>
      <c r="BJ87" s="77"/>
    </row>
    <row r="88" spans="6:62" x14ac:dyDescent="0.3">
      <c r="F88" s="46"/>
      <c r="BJ88" s="77"/>
    </row>
    <row r="89" spans="6:62" x14ac:dyDescent="0.3">
      <c r="F89" s="46"/>
      <c r="BJ89" s="77"/>
    </row>
    <row r="90" spans="6:62" x14ac:dyDescent="0.3">
      <c r="F90" s="46"/>
      <c r="BJ90" s="77"/>
    </row>
    <row r="91" spans="6:62" x14ac:dyDescent="0.3">
      <c r="F91" s="46"/>
      <c r="BJ91" s="77"/>
    </row>
    <row r="92" spans="6:62" x14ac:dyDescent="0.3">
      <c r="F92" s="46"/>
      <c r="BJ92" s="77"/>
    </row>
    <row r="93" spans="6:62" x14ac:dyDescent="0.3">
      <c r="F93" s="46"/>
      <c r="BJ93" s="77"/>
    </row>
    <row r="94" spans="6:62" x14ac:dyDescent="0.3">
      <c r="F94" s="46"/>
      <c r="BJ94" s="77"/>
    </row>
    <row r="95" spans="6:62" x14ac:dyDescent="0.3">
      <c r="F95" s="46"/>
      <c r="BJ95" s="77"/>
    </row>
    <row r="96" spans="6:62" x14ac:dyDescent="0.3">
      <c r="F96" s="46"/>
      <c r="BJ96" s="77"/>
    </row>
    <row r="97" spans="6:62" x14ac:dyDescent="0.3">
      <c r="F97" s="46"/>
      <c r="BJ97" s="77"/>
    </row>
    <row r="98" spans="6:62" x14ac:dyDescent="0.3">
      <c r="F98" s="46"/>
      <c r="BJ98" s="77"/>
    </row>
    <row r="99" spans="6:62" x14ac:dyDescent="0.3">
      <c r="F99" s="46"/>
      <c r="BJ99" s="77"/>
    </row>
    <row r="100" spans="6:62" x14ac:dyDescent="0.3">
      <c r="F100" s="46"/>
      <c r="BJ100" s="77"/>
    </row>
    <row r="101" spans="6:62" x14ac:dyDescent="0.3">
      <c r="F101" s="46"/>
      <c r="BJ101" s="77"/>
    </row>
    <row r="102" spans="6:62" x14ac:dyDescent="0.3">
      <c r="F102" s="46"/>
      <c r="BJ102" s="77"/>
    </row>
    <row r="103" spans="6:62" x14ac:dyDescent="0.3">
      <c r="F103" s="46"/>
      <c r="BJ103" s="77"/>
    </row>
    <row r="104" spans="6:62" x14ac:dyDescent="0.3">
      <c r="F104" s="46"/>
      <c r="BJ104" s="77"/>
    </row>
    <row r="105" spans="6:62" x14ac:dyDescent="0.3">
      <c r="F105" s="46"/>
      <c r="BJ105" s="77"/>
    </row>
    <row r="106" spans="6:62" x14ac:dyDescent="0.3">
      <c r="F106" s="46"/>
      <c r="BJ106" s="77"/>
    </row>
    <row r="107" spans="6:62" x14ac:dyDescent="0.3">
      <c r="F107" s="46"/>
      <c r="BJ107" s="77"/>
    </row>
    <row r="108" spans="6:62" x14ac:dyDescent="0.3">
      <c r="F108" s="46"/>
      <c r="BJ108" s="77"/>
    </row>
    <row r="109" spans="6:62" x14ac:dyDescent="0.3">
      <c r="F109" s="46"/>
      <c r="BJ109" s="77"/>
    </row>
    <row r="110" spans="6:62" x14ac:dyDescent="0.3">
      <c r="F110" s="46"/>
      <c r="BJ110" s="77"/>
    </row>
    <row r="111" spans="6:62" x14ac:dyDescent="0.3">
      <c r="F111" s="46"/>
      <c r="BJ111" s="77"/>
    </row>
    <row r="112" spans="6:62" x14ac:dyDescent="0.3">
      <c r="F112" s="46"/>
      <c r="BJ112" s="77"/>
    </row>
    <row r="113" spans="6:62" x14ac:dyDescent="0.3">
      <c r="F113" s="46"/>
      <c r="BJ113" s="77"/>
    </row>
    <row r="114" spans="6:62" x14ac:dyDescent="0.3">
      <c r="F114" s="46"/>
      <c r="BJ114" s="77"/>
    </row>
    <row r="115" spans="6:62" x14ac:dyDescent="0.3">
      <c r="F115" s="46"/>
      <c r="BJ115" s="77"/>
    </row>
    <row r="116" spans="6:62" x14ac:dyDescent="0.3">
      <c r="F116" s="46"/>
      <c r="BJ116" s="77"/>
    </row>
    <row r="117" spans="6:62" x14ac:dyDescent="0.3">
      <c r="F117" s="46"/>
      <c r="BJ117" s="77"/>
    </row>
    <row r="118" spans="6:62" x14ac:dyDescent="0.3">
      <c r="F118" s="46"/>
      <c r="BJ118" s="77"/>
    </row>
    <row r="119" spans="6:62" x14ac:dyDescent="0.3">
      <c r="F119" s="46"/>
      <c r="BJ119" s="77"/>
    </row>
    <row r="120" spans="6:62" x14ac:dyDescent="0.3">
      <c r="F120" s="46"/>
      <c r="BJ120" s="77"/>
    </row>
    <row r="121" spans="6:62" x14ac:dyDescent="0.3">
      <c r="F121" s="46"/>
      <c r="BJ121" s="77"/>
    </row>
    <row r="122" spans="6:62" x14ac:dyDescent="0.3">
      <c r="F122" s="46"/>
      <c r="BJ122" s="77"/>
    </row>
    <row r="123" spans="6:62" x14ac:dyDescent="0.3">
      <c r="F123" s="46"/>
      <c r="BJ123" s="77"/>
    </row>
    <row r="124" spans="6:62" x14ac:dyDescent="0.3">
      <c r="F124" s="46"/>
      <c r="BJ124" s="77"/>
    </row>
    <row r="125" spans="6:62" x14ac:dyDescent="0.3">
      <c r="F125" s="46"/>
      <c r="BJ125" s="77"/>
    </row>
    <row r="126" spans="6:62" x14ac:dyDescent="0.3">
      <c r="F126" s="46"/>
      <c r="BJ126" s="77"/>
    </row>
    <row r="127" spans="6:62" x14ac:dyDescent="0.3">
      <c r="F127" s="46"/>
      <c r="BJ127" s="77"/>
    </row>
    <row r="128" spans="6:62" x14ac:dyDescent="0.3">
      <c r="F128" s="46"/>
      <c r="BJ128" s="77"/>
    </row>
    <row r="129" spans="6:62" x14ac:dyDescent="0.3">
      <c r="F129" s="46"/>
      <c r="BJ129" s="77"/>
    </row>
    <row r="130" spans="6:62" x14ac:dyDescent="0.3">
      <c r="F130" s="46"/>
      <c r="BJ130" s="77"/>
    </row>
    <row r="131" spans="6:62" x14ac:dyDescent="0.3">
      <c r="F131" s="46"/>
      <c r="BJ131" s="77"/>
    </row>
    <row r="132" spans="6:62" x14ac:dyDescent="0.3">
      <c r="F132" s="46"/>
      <c r="BJ132" s="77"/>
    </row>
    <row r="133" spans="6:62" x14ac:dyDescent="0.3">
      <c r="F133" s="46"/>
      <c r="BJ133" s="77"/>
    </row>
    <row r="134" spans="6:62" x14ac:dyDescent="0.3">
      <c r="F134" s="46"/>
      <c r="BJ134" s="77"/>
    </row>
    <row r="135" spans="6:62" x14ac:dyDescent="0.3">
      <c r="F135" s="46"/>
      <c r="BJ135" s="77"/>
    </row>
    <row r="136" spans="6:62" x14ac:dyDescent="0.3">
      <c r="F136" s="46"/>
      <c r="BJ136" s="77"/>
    </row>
    <row r="137" spans="6:62" x14ac:dyDescent="0.3">
      <c r="F137" s="46"/>
      <c r="BJ137" s="77"/>
    </row>
    <row r="138" spans="6:62" x14ac:dyDescent="0.3">
      <c r="F138" s="46"/>
      <c r="BJ138" s="77"/>
    </row>
    <row r="139" spans="6:62" x14ac:dyDescent="0.3">
      <c r="F139" s="46"/>
      <c r="BJ139" s="77"/>
    </row>
    <row r="140" spans="6:62" x14ac:dyDescent="0.3">
      <c r="F140" s="46"/>
      <c r="BJ140" s="77"/>
    </row>
    <row r="141" spans="6:62" x14ac:dyDescent="0.3">
      <c r="F141" s="46"/>
      <c r="BJ141" s="77"/>
    </row>
    <row r="142" spans="6:62" x14ac:dyDescent="0.3">
      <c r="F142" s="46"/>
      <c r="BJ142" s="77"/>
    </row>
    <row r="143" spans="6:62" x14ac:dyDescent="0.3">
      <c r="F143" s="46"/>
      <c r="BJ143" s="77"/>
    </row>
    <row r="144" spans="6:62" x14ac:dyDescent="0.3">
      <c r="F144" s="46"/>
      <c r="BJ144" s="77"/>
    </row>
    <row r="145" spans="6:62" x14ac:dyDescent="0.3">
      <c r="F145" s="46"/>
      <c r="BJ145" s="77"/>
    </row>
    <row r="146" spans="6:62" x14ac:dyDescent="0.3">
      <c r="F146" s="46"/>
      <c r="BJ146" s="77"/>
    </row>
    <row r="147" spans="6:62" x14ac:dyDescent="0.3">
      <c r="F147" s="46"/>
      <c r="BJ147" s="77"/>
    </row>
    <row r="148" spans="6:62" x14ac:dyDescent="0.3">
      <c r="F148" s="46"/>
      <c r="BJ148" s="77"/>
    </row>
    <row r="149" spans="6:62" x14ac:dyDescent="0.3">
      <c r="F149" s="46"/>
      <c r="BJ149" s="77"/>
    </row>
    <row r="150" spans="6:62" x14ac:dyDescent="0.3">
      <c r="F150" s="46"/>
      <c r="BJ150" s="77"/>
    </row>
    <row r="151" spans="6:62" x14ac:dyDescent="0.3">
      <c r="F151" s="46"/>
      <c r="BJ151" s="77"/>
    </row>
    <row r="152" spans="6:62" x14ac:dyDescent="0.3">
      <c r="F152" s="46"/>
      <c r="BJ152" s="77"/>
    </row>
    <row r="153" spans="6:62" x14ac:dyDescent="0.3">
      <c r="F153" s="46"/>
      <c r="BJ153" s="77"/>
    </row>
    <row r="154" spans="6:62" x14ac:dyDescent="0.3">
      <c r="F154" s="46"/>
      <c r="BJ154" s="77"/>
    </row>
    <row r="155" spans="6:62" x14ac:dyDescent="0.3">
      <c r="F155" s="46"/>
      <c r="BJ155" s="77"/>
    </row>
    <row r="156" spans="6:62" x14ac:dyDescent="0.3">
      <c r="F156" s="46"/>
      <c r="BJ156" s="77"/>
    </row>
    <row r="157" spans="6:62" x14ac:dyDescent="0.3">
      <c r="F157" s="46"/>
      <c r="BJ157" s="77"/>
    </row>
    <row r="158" spans="6:62" x14ac:dyDescent="0.3">
      <c r="F158" s="46"/>
      <c r="BJ158" s="77"/>
    </row>
    <row r="159" spans="6:62" x14ac:dyDescent="0.3">
      <c r="F159" s="46"/>
      <c r="BJ159" s="77"/>
    </row>
    <row r="160" spans="6:62" x14ac:dyDescent="0.3">
      <c r="F160" s="46"/>
      <c r="BJ160" s="77"/>
    </row>
    <row r="161" spans="6:62" x14ac:dyDescent="0.3">
      <c r="F161" s="46"/>
      <c r="BJ161" s="77"/>
    </row>
    <row r="162" spans="6:62" x14ac:dyDescent="0.3">
      <c r="F162" s="46"/>
      <c r="BJ162" s="77"/>
    </row>
    <row r="163" spans="6:62" x14ac:dyDescent="0.3">
      <c r="F163" s="46"/>
      <c r="BJ163" s="77"/>
    </row>
    <row r="164" spans="6:62" x14ac:dyDescent="0.3">
      <c r="F164" s="46"/>
      <c r="BJ164" s="77"/>
    </row>
    <row r="165" spans="6:62" x14ac:dyDescent="0.3">
      <c r="F165" s="46"/>
      <c r="BJ165" s="77"/>
    </row>
    <row r="166" spans="6:62" x14ac:dyDescent="0.3">
      <c r="F166" s="46"/>
      <c r="BJ166" s="77"/>
    </row>
    <row r="167" spans="6:62" x14ac:dyDescent="0.3">
      <c r="F167" s="46"/>
      <c r="BJ167" s="77"/>
    </row>
    <row r="168" spans="6:62" x14ac:dyDescent="0.3">
      <c r="F168" s="46"/>
      <c r="BJ168" s="77"/>
    </row>
    <row r="169" spans="6:62" x14ac:dyDescent="0.3">
      <c r="F169" s="46"/>
      <c r="BJ169" s="77"/>
    </row>
    <row r="170" spans="6:62" x14ac:dyDescent="0.3">
      <c r="F170" s="46"/>
      <c r="BJ170" s="77"/>
    </row>
    <row r="171" spans="6:62" x14ac:dyDescent="0.3">
      <c r="F171" s="46"/>
      <c r="BJ171" s="77"/>
    </row>
    <row r="172" spans="6:62" x14ac:dyDescent="0.3">
      <c r="F172" s="46"/>
      <c r="BJ172" s="77"/>
    </row>
    <row r="173" spans="6:62" x14ac:dyDescent="0.3">
      <c r="F173" s="46"/>
      <c r="BJ173" s="77"/>
    </row>
    <row r="174" spans="6:62" x14ac:dyDescent="0.3">
      <c r="F174" s="46"/>
      <c r="BJ174" s="77"/>
    </row>
    <row r="175" spans="6:62" x14ac:dyDescent="0.3">
      <c r="F175" s="46"/>
      <c r="BJ175" s="77"/>
    </row>
    <row r="176" spans="6:62" x14ac:dyDescent="0.3">
      <c r="F176" s="46"/>
      <c r="BJ176" s="77"/>
    </row>
    <row r="177" spans="6:62" x14ac:dyDescent="0.3">
      <c r="F177" s="46"/>
      <c r="BJ177" s="77"/>
    </row>
    <row r="178" spans="6:62" x14ac:dyDescent="0.3">
      <c r="F178" s="46"/>
      <c r="BJ178" s="77"/>
    </row>
    <row r="179" spans="6:62" x14ac:dyDescent="0.3">
      <c r="F179" s="46"/>
      <c r="BJ179" s="77"/>
    </row>
    <row r="180" spans="6:62" x14ac:dyDescent="0.3">
      <c r="F180" s="46"/>
      <c r="BJ180" s="77"/>
    </row>
    <row r="181" spans="6:62" x14ac:dyDescent="0.3">
      <c r="F181" s="46"/>
      <c r="BJ181" s="77"/>
    </row>
    <row r="182" spans="6:62" x14ac:dyDescent="0.3">
      <c r="F182" s="46"/>
      <c r="BJ182" s="77"/>
    </row>
    <row r="183" spans="6:62" x14ac:dyDescent="0.3">
      <c r="F183" s="46"/>
      <c r="BJ183" s="77"/>
    </row>
    <row r="184" spans="6:62" x14ac:dyDescent="0.3">
      <c r="F184" s="46"/>
      <c r="BJ184" s="77"/>
    </row>
    <row r="185" spans="6:62" x14ac:dyDescent="0.3">
      <c r="F185" s="46"/>
      <c r="BJ185" s="77"/>
    </row>
    <row r="186" spans="6:62" x14ac:dyDescent="0.3">
      <c r="F186" s="46"/>
      <c r="BJ186" s="77"/>
    </row>
    <row r="187" spans="6:62" x14ac:dyDescent="0.3">
      <c r="F187" s="46"/>
      <c r="BJ187" s="77"/>
    </row>
    <row r="188" spans="6:62" x14ac:dyDescent="0.3">
      <c r="F188" s="46"/>
      <c r="BJ188" s="77"/>
    </row>
    <row r="189" spans="6:62" x14ac:dyDescent="0.3">
      <c r="F189" s="46"/>
      <c r="BJ189" s="77"/>
    </row>
    <row r="190" spans="6:62" x14ac:dyDescent="0.3">
      <c r="F190" s="46"/>
      <c r="BJ190" s="77"/>
    </row>
    <row r="191" spans="6:62" x14ac:dyDescent="0.3">
      <c r="F191" s="46"/>
      <c r="BJ191" s="77"/>
    </row>
    <row r="192" spans="6:62" x14ac:dyDescent="0.3">
      <c r="F192" s="46"/>
      <c r="BJ192" s="77"/>
    </row>
    <row r="193" spans="6:62" x14ac:dyDescent="0.3">
      <c r="F193" s="46"/>
      <c r="BJ193" s="77"/>
    </row>
    <row r="194" spans="6:62" x14ac:dyDescent="0.3">
      <c r="F194" s="46"/>
      <c r="BJ194" s="77"/>
    </row>
    <row r="195" spans="6:62" x14ac:dyDescent="0.3">
      <c r="F195" s="46"/>
      <c r="BJ195" s="77"/>
    </row>
    <row r="196" spans="6:62" x14ac:dyDescent="0.3">
      <c r="F196" s="46"/>
      <c r="BJ196" s="77"/>
    </row>
    <row r="197" spans="6:62" x14ac:dyDescent="0.3">
      <c r="F197" s="46"/>
      <c r="BJ197" s="77"/>
    </row>
    <row r="198" spans="6:62" x14ac:dyDescent="0.3">
      <c r="F198" s="46"/>
      <c r="BJ198" s="77"/>
    </row>
    <row r="199" spans="6:62" x14ac:dyDescent="0.3">
      <c r="F199" s="46"/>
      <c r="BJ199" s="77"/>
    </row>
    <row r="200" spans="6:62" x14ac:dyDescent="0.3">
      <c r="F200" s="46"/>
      <c r="BJ200" s="77"/>
    </row>
    <row r="201" spans="6:62" x14ac:dyDescent="0.3">
      <c r="F201" s="46"/>
      <c r="BJ201" s="77"/>
    </row>
    <row r="202" spans="6:62" x14ac:dyDescent="0.3">
      <c r="F202" s="46"/>
      <c r="BJ202" s="77"/>
    </row>
    <row r="203" spans="6:62" x14ac:dyDescent="0.3">
      <c r="F203" s="46"/>
      <c r="BJ203" s="77"/>
    </row>
    <row r="204" spans="6:62" x14ac:dyDescent="0.3">
      <c r="F204" s="46"/>
      <c r="BJ204" s="77"/>
    </row>
    <row r="205" spans="6:62" x14ac:dyDescent="0.3">
      <c r="F205" s="46"/>
      <c r="BJ205" s="77"/>
    </row>
    <row r="206" spans="6:62" x14ac:dyDescent="0.3">
      <c r="F206" s="46"/>
      <c r="BJ206" s="77"/>
    </row>
    <row r="207" spans="6:62" x14ac:dyDescent="0.3">
      <c r="F207" s="46"/>
      <c r="BJ207" s="77"/>
    </row>
    <row r="208" spans="6:62" x14ac:dyDescent="0.3">
      <c r="F208" s="46"/>
      <c r="BJ208" s="77"/>
    </row>
    <row r="209" spans="6:62" x14ac:dyDescent="0.3">
      <c r="F209" s="46"/>
      <c r="BJ209" s="77"/>
    </row>
    <row r="210" spans="6:62" x14ac:dyDescent="0.3">
      <c r="F210" s="46"/>
      <c r="BJ210" s="77"/>
    </row>
    <row r="211" spans="6:62" x14ac:dyDescent="0.3">
      <c r="F211" s="46"/>
      <c r="BJ211" s="77"/>
    </row>
    <row r="212" spans="6:62" x14ac:dyDescent="0.3">
      <c r="F212" s="46"/>
      <c r="BJ212" s="77"/>
    </row>
    <row r="213" spans="6:62" x14ac:dyDescent="0.3">
      <c r="F213" s="46"/>
      <c r="BJ213" s="77"/>
    </row>
    <row r="214" spans="6:62" x14ac:dyDescent="0.3">
      <c r="F214" s="46"/>
      <c r="BJ214" s="77"/>
    </row>
    <row r="215" spans="6:62" x14ac:dyDescent="0.3">
      <c r="F215" s="46"/>
      <c r="BJ215" s="77"/>
    </row>
    <row r="216" spans="6:62" x14ac:dyDescent="0.3">
      <c r="F216" s="46"/>
      <c r="BJ216" s="77"/>
    </row>
    <row r="217" spans="6:62" x14ac:dyDescent="0.3">
      <c r="F217" s="46"/>
      <c r="BJ217" s="77"/>
    </row>
    <row r="218" spans="6:62" x14ac:dyDescent="0.3">
      <c r="F218" s="46"/>
      <c r="BJ218" s="77"/>
    </row>
    <row r="219" spans="6:62" x14ac:dyDescent="0.3">
      <c r="F219" s="46"/>
      <c r="BJ219" s="77"/>
    </row>
    <row r="220" spans="6:62" x14ac:dyDescent="0.3">
      <c r="F220" s="46"/>
      <c r="BJ220" s="77"/>
    </row>
    <row r="221" spans="6:62" x14ac:dyDescent="0.3">
      <c r="F221" s="46"/>
      <c r="BJ221" s="77"/>
    </row>
    <row r="222" spans="6:62" x14ac:dyDescent="0.3">
      <c r="F222" s="46"/>
      <c r="BJ222" s="77"/>
    </row>
    <row r="223" spans="6:62" x14ac:dyDescent="0.3">
      <c r="F223" s="46"/>
      <c r="BJ223" s="77"/>
    </row>
    <row r="224" spans="6:62" x14ac:dyDescent="0.3">
      <c r="F224" s="46"/>
      <c r="BJ224" s="77"/>
    </row>
    <row r="225" spans="6:62" x14ac:dyDescent="0.3">
      <c r="F225" s="46"/>
      <c r="BJ225" s="77"/>
    </row>
    <row r="226" spans="6:62" x14ac:dyDescent="0.3">
      <c r="F226" s="46"/>
      <c r="BJ226" s="77"/>
    </row>
    <row r="227" spans="6:62" x14ac:dyDescent="0.3">
      <c r="F227" s="46"/>
      <c r="BJ227" s="77"/>
    </row>
    <row r="228" spans="6:62" x14ac:dyDescent="0.3">
      <c r="F228" s="46"/>
      <c r="BJ228" s="77"/>
    </row>
    <row r="229" spans="6:62" x14ac:dyDescent="0.3">
      <c r="F229" s="46"/>
      <c r="BJ229" s="77"/>
    </row>
    <row r="230" spans="6:62" x14ac:dyDescent="0.3">
      <c r="F230" s="46"/>
      <c r="BJ230" s="77"/>
    </row>
    <row r="231" spans="6:62" x14ac:dyDescent="0.3">
      <c r="F231" s="46"/>
      <c r="BJ231" s="77"/>
    </row>
    <row r="232" spans="6:62" x14ac:dyDescent="0.3">
      <c r="F232" s="46"/>
      <c r="BJ232" s="77"/>
    </row>
    <row r="233" spans="6:62" x14ac:dyDescent="0.3">
      <c r="F233" s="46"/>
      <c r="BJ233" s="77"/>
    </row>
    <row r="234" spans="6:62" x14ac:dyDescent="0.3">
      <c r="F234" s="46"/>
      <c r="BJ234" s="77"/>
    </row>
    <row r="235" spans="6:62" x14ac:dyDescent="0.3">
      <c r="F235" s="46"/>
      <c r="BJ235" s="77"/>
    </row>
    <row r="236" spans="6:62" x14ac:dyDescent="0.3">
      <c r="F236" s="46"/>
      <c r="BJ236" s="77"/>
    </row>
    <row r="237" spans="6:62" x14ac:dyDescent="0.3">
      <c r="F237" s="46"/>
      <c r="BJ237" s="77"/>
    </row>
    <row r="238" spans="6:62" x14ac:dyDescent="0.3">
      <c r="F238" s="46"/>
      <c r="BJ238" s="77"/>
    </row>
    <row r="239" spans="6:62" x14ac:dyDescent="0.3">
      <c r="F239" s="46"/>
      <c r="BJ239" s="77"/>
    </row>
    <row r="240" spans="6:62" x14ac:dyDescent="0.3">
      <c r="F240" s="46"/>
      <c r="BJ240" s="77"/>
    </row>
    <row r="241" spans="6:62" x14ac:dyDescent="0.3">
      <c r="F241" s="46"/>
      <c r="BJ241" s="77"/>
    </row>
    <row r="242" spans="6:62" x14ac:dyDescent="0.3">
      <c r="F242" s="46"/>
      <c r="BJ242" s="77"/>
    </row>
    <row r="243" spans="6:62" x14ac:dyDescent="0.3">
      <c r="F243" s="46"/>
      <c r="BJ243" s="77"/>
    </row>
    <row r="244" spans="6:62" x14ac:dyDescent="0.3">
      <c r="F244" s="46"/>
      <c r="BJ244" s="77"/>
    </row>
    <row r="245" spans="6:62" x14ac:dyDescent="0.3">
      <c r="F245" s="46"/>
      <c r="BJ245" s="77"/>
    </row>
    <row r="246" spans="6:62" x14ac:dyDescent="0.3">
      <c r="F246" s="46"/>
      <c r="BJ246" s="77"/>
    </row>
    <row r="247" spans="6:62" x14ac:dyDescent="0.3">
      <c r="F247" s="46"/>
      <c r="BJ247" s="77"/>
    </row>
    <row r="248" spans="6:62" x14ac:dyDescent="0.3">
      <c r="F248" s="46"/>
      <c r="BJ248" s="77"/>
    </row>
    <row r="249" spans="6:62" x14ac:dyDescent="0.3">
      <c r="F249" s="46"/>
      <c r="BJ249" s="77"/>
    </row>
    <row r="250" spans="6:62" x14ac:dyDescent="0.3">
      <c r="F250" s="46"/>
      <c r="BJ250" s="77"/>
    </row>
    <row r="251" spans="6:62" x14ac:dyDescent="0.3">
      <c r="F251" s="46"/>
      <c r="BJ251" s="77"/>
    </row>
    <row r="252" spans="6:62" x14ac:dyDescent="0.3">
      <c r="F252" s="46"/>
      <c r="BJ252" s="77"/>
    </row>
    <row r="253" spans="6:62" x14ac:dyDescent="0.3">
      <c r="F253" s="46"/>
      <c r="BJ253" s="77"/>
    </row>
    <row r="254" spans="6:62" x14ac:dyDescent="0.3">
      <c r="F254" s="46"/>
      <c r="BJ254" s="77"/>
    </row>
    <row r="255" spans="6:62" x14ac:dyDescent="0.3">
      <c r="F255" s="46"/>
      <c r="BJ255" s="77"/>
    </row>
    <row r="256" spans="6:62" x14ac:dyDescent="0.3">
      <c r="F256" s="46"/>
      <c r="BJ256" s="77"/>
    </row>
    <row r="257" spans="6:62" x14ac:dyDescent="0.3">
      <c r="F257" s="46"/>
      <c r="BJ257" s="77"/>
    </row>
    <row r="258" spans="6:62" x14ac:dyDescent="0.3">
      <c r="F258" s="46"/>
      <c r="BJ258" s="77"/>
    </row>
    <row r="259" spans="6:62" x14ac:dyDescent="0.3">
      <c r="F259" s="46"/>
      <c r="BJ259" s="77"/>
    </row>
    <row r="260" spans="6:62" x14ac:dyDescent="0.3">
      <c r="F260" s="46"/>
      <c r="BJ260" s="77"/>
    </row>
    <row r="261" spans="6:62" x14ac:dyDescent="0.3">
      <c r="F261" s="46"/>
      <c r="BJ261" s="77"/>
    </row>
    <row r="262" spans="6:62" x14ac:dyDescent="0.3">
      <c r="F262" s="46"/>
      <c r="BJ262" s="77"/>
    </row>
    <row r="263" spans="6:62" x14ac:dyDescent="0.3">
      <c r="F263" s="46"/>
      <c r="BJ263" s="77"/>
    </row>
    <row r="264" spans="6:62" x14ac:dyDescent="0.3">
      <c r="F264" s="46"/>
      <c r="BJ264" s="77"/>
    </row>
    <row r="265" spans="6:62" x14ac:dyDescent="0.3">
      <c r="F265" s="46"/>
      <c r="BJ265" s="77"/>
    </row>
    <row r="266" spans="6:62" x14ac:dyDescent="0.3">
      <c r="F266" s="46"/>
      <c r="BJ266" s="77"/>
    </row>
    <row r="267" spans="6:62" x14ac:dyDescent="0.3">
      <c r="F267" s="46"/>
      <c r="BJ267" s="77"/>
    </row>
    <row r="268" spans="6:62" x14ac:dyDescent="0.3">
      <c r="F268" s="46"/>
      <c r="BJ268" s="77"/>
    </row>
    <row r="269" spans="6:62" x14ac:dyDescent="0.3">
      <c r="F269" s="46"/>
      <c r="BJ269" s="77"/>
    </row>
    <row r="270" spans="6:62" x14ac:dyDescent="0.3">
      <c r="F270" s="46"/>
      <c r="BJ270" s="77"/>
    </row>
    <row r="271" spans="6:62" x14ac:dyDescent="0.3">
      <c r="F271" s="46"/>
      <c r="BJ271" s="77"/>
    </row>
    <row r="272" spans="6:62" x14ac:dyDescent="0.3">
      <c r="F272" s="46"/>
      <c r="BJ272" s="77"/>
    </row>
    <row r="273" spans="6:62" x14ac:dyDescent="0.3">
      <c r="F273" s="46"/>
      <c r="BJ273" s="77"/>
    </row>
    <row r="274" spans="6:62" x14ac:dyDescent="0.3">
      <c r="F274" s="46"/>
      <c r="BJ274" s="77"/>
    </row>
    <row r="275" spans="6:62" x14ac:dyDescent="0.3">
      <c r="F275" s="46"/>
      <c r="BJ275" s="77"/>
    </row>
    <row r="276" spans="6:62" x14ac:dyDescent="0.3">
      <c r="F276" s="46"/>
      <c r="BJ276" s="77"/>
    </row>
    <row r="277" spans="6:62" x14ac:dyDescent="0.3">
      <c r="F277" s="46"/>
      <c r="BJ277" s="77"/>
    </row>
    <row r="278" spans="6:62" x14ac:dyDescent="0.3">
      <c r="F278" s="46"/>
      <c r="BJ278" s="77"/>
    </row>
    <row r="279" spans="6:62" x14ac:dyDescent="0.3">
      <c r="F279" s="46"/>
      <c r="BJ279" s="77"/>
    </row>
    <row r="280" spans="6:62" x14ac:dyDescent="0.3">
      <c r="F280" s="46"/>
      <c r="BJ280" s="77"/>
    </row>
    <row r="281" spans="6:62" x14ac:dyDescent="0.3">
      <c r="F281" s="46"/>
      <c r="BJ281" s="77"/>
    </row>
    <row r="282" spans="6:62" x14ac:dyDescent="0.3">
      <c r="F282" s="46"/>
      <c r="BJ282" s="77"/>
    </row>
    <row r="283" spans="6:62" x14ac:dyDescent="0.3">
      <c r="F283" s="46"/>
      <c r="BJ283" s="77"/>
    </row>
    <row r="284" spans="6:62" x14ac:dyDescent="0.3">
      <c r="F284" s="46"/>
      <c r="BJ284" s="77"/>
    </row>
    <row r="285" spans="6:62" x14ac:dyDescent="0.3">
      <c r="F285" s="46"/>
      <c r="BJ285" s="77"/>
    </row>
    <row r="286" spans="6:62" x14ac:dyDescent="0.3">
      <c r="F286" s="46"/>
      <c r="BJ286" s="77"/>
    </row>
    <row r="287" spans="6:62" x14ac:dyDescent="0.3">
      <c r="F287" s="46"/>
      <c r="BJ287" s="77"/>
    </row>
    <row r="288" spans="6:62" x14ac:dyDescent="0.3">
      <c r="F288" s="46"/>
      <c r="BJ288" s="77"/>
    </row>
    <row r="289" spans="6:62" x14ac:dyDescent="0.3">
      <c r="F289" s="46"/>
      <c r="BJ289" s="77"/>
    </row>
    <row r="290" spans="6:62" x14ac:dyDescent="0.3">
      <c r="F290" s="46"/>
      <c r="BJ290" s="77"/>
    </row>
    <row r="291" spans="6:62" x14ac:dyDescent="0.3">
      <c r="F291" s="46"/>
      <c r="BJ291" s="77"/>
    </row>
    <row r="292" spans="6:62" x14ac:dyDescent="0.3">
      <c r="F292" s="46"/>
      <c r="BJ292" s="77"/>
    </row>
    <row r="293" spans="6:62" x14ac:dyDescent="0.3">
      <c r="F293" s="46"/>
      <c r="BJ293" s="77"/>
    </row>
    <row r="294" spans="6:62" x14ac:dyDescent="0.3">
      <c r="F294" s="46"/>
      <c r="BJ294" s="77"/>
    </row>
    <row r="295" spans="6:62" x14ac:dyDescent="0.3">
      <c r="F295" s="46"/>
      <c r="BJ295" s="77"/>
    </row>
    <row r="296" spans="6:62" x14ac:dyDescent="0.3">
      <c r="F296" s="46"/>
      <c r="BJ296" s="77"/>
    </row>
    <row r="297" spans="6:62" x14ac:dyDescent="0.3">
      <c r="F297" s="46"/>
      <c r="BJ297" s="77"/>
    </row>
    <row r="298" spans="6:62" x14ac:dyDescent="0.3">
      <c r="F298" s="46"/>
      <c r="BJ298" s="77"/>
    </row>
    <row r="299" spans="6:62" x14ac:dyDescent="0.3">
      <c r="F299" s="46"/>
      <c r="BJ299" s="77"/>
    </row>
    <row r="300" spans="6:62" x14ac:dyDescent="0.3">
      <c r="F300" s="46"/>
      <c r="BJ300" s="77"/>
    </row>
    <row r="301" spans="6:62" x14ac:dyDescent="0.3">
      <c r="F301" s="46"/>
      <c r="BJ301" s="77"/>
    </row>
    <row r="302" spans="6:62" x14ac:dyDescent="0.3">
      <c r="F302" s="46"/>
    </row>
  </sheetData>
  <mergeCells count="1">
    <mergeCell ref="BG1:BH1"/>
  </mergeCells>
  <conditionalFormatting sqref="B29:B51">
    <cfRule type="notContainsBlanks" dxfId="28" priority="5">
      <formula>LEN(TRIM(B29))&gt;0</formula>
    </cfRule>
  </conditionalFormatting>
  <conditionalFormatting sqref="B3">
    <cfRule type="containsBlanks" dxfId="27" priority="4">
      <formula>LEN(TRIM(B3))=0</formula>
    </cfRule>
  </conditionalFormatting>
  <conditionalFormatting sqref="B4:B28">
    <cfRule type="containsBlanks" dxfId="26" priority="3">
      <formula>LEN(TRIM(B4))=0</formula>
    </cfRule>
  </conditionalFormatting>
  <conditionalFormatting sqref="BJ2">
    <cfRule type="expression" dxfId="25" priority="2">
      <formula>BG2&lt;&gt;""</formula>
    </cfRule>
  </conditionalFormatting>
  <conditionalFormatting sqref="BJ3:BJ53">
    <cfRule type="expression" dxfId="24" priority="1">
      <formula>BG3&lt;&gt;""</formula>
    </cfRule>
  </conditionalFormatting>
  <dataValidations count="5">
    <dataValidation allowBlank="1" showInputMessage="1" showErrorMessage="1" promptTitle="Name of new minor category" prompt="This is the upper case value of the new minor category input in the Mod page in C9." sqref="G1" xr:uid="{359B9C0F-DB36-4002-A032-37134784A1B2}"/>
    <dataValidation allowBlank="1" showInputMessage="1" showErrorMessage="1" promptTitle="Major category to fall under" prompt="This is the name of the Major category that the new minor category will fall under." sqref="G2" xr:uid="{230FC78E-5330-4EF0-AD67-790128E766A1}"/>
    <dataValidation allowBlank="1" showInputMessage="1" showErrorMessage="1" promptTitle="Minor category list" prompt="This is a list of all the minor categories the user has defined." sqref="F2" xr:uid="{7A35CDAE-E633-470D-953A-7FA6A086E56A}"/>
    <dataValidation allowBlank="1" showInputMessage="1" showErrorMessage="1" promptTitle="Major Category List" prompt="This is a list of all of the user defined Major Categories. Investments will always remain at the top." sqref="B1" xr:uid="{3AD2B7D4-B6D3-4F29-BD07-B5368F9B256C}"/>
    <dataValidation allowBlank="1" showInputMessage="1" showErrorMessage="1" promptTitle="Default Major Categories" prompt="This is a default list of Major Categories to get a user started. This list is not editable." sqref="A1" xr:uid="{ED27A611-85ED-4FA1-A403-3BE4E4AEE853}"/>
  </dataValidation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B5554-476D-403D-9E2A-8E533CB4E137}">
  <sheetPr codeName="Sheet5"/>
  <dimension ref="A1:L150"/>
  <sheetViews>
    <sheetView workbookViewId="0">
      <selection activeCell="C3" sqref="C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  <col min="12" max="12" width="8.88671875" customWidth="1"/>
  </cols>
  <sheetData>
    <row r="1" spans="1:12" ht="15" thickBot="1" x14ac:dyDescent="0.35">
      <c r="A1" s="63" t="s">
        <v>0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2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2" ht="15" thickTop="1" x14ac:dyDescent="0.3">
      <c r="A3" s="56" t="s">
        <v>9</v>
      </c>
      <c r="B3" s="74"/>
      <c r="C3" s="53" t="s">
        <v>51</v>
      </c>
      <c r="D3" s="27"/>
      <c r="E3" s="27"/>
      <c r="F3" s="22">
        <f>D3-E3</f>
        <v>0</v>
      </c>
      <c r="G3" s="6"/>
      <c r="H3" s="7"/>
      <c r="I3" s="24"/>
      <c r="L3" s="20"/>
    </row>
    <row r="4" spans="1:12" ht="15" thickBot="1" x14ac:dyDescent="0.35">
      <c r="A4" s="75">
        <f>SUM(I3:I150)</f>
        <v>0</v>
      </c>
      <c r="B4" s="76"/>
      <c r="C4" s="54"/>
      <c r="D4" s="28"/>
      <c r="E4" s="28"/>
      <c r="F4" s="23">
        <f>D4-E4</f>
        <v>0</v>
      </c>
      <c r="G4" s="8"/>
      <c r="H4" s="9"/>
      <c r="I4" s="25"/>
    </row>
    <row r="5" spans="1:12" ht="15" thickTop="1" x14ac:dyDescent="0.3">
      <c r="A5" s="56" t="s">
        <v>10</v>
      </c>
      <c r="B5" s="74"/>
      <c r="C5" s="54"/>
      <c r="D5" s="28"/>
      <c r="E5" s="28"/>
      <c r="F5" s="23">
        <f t="shared" ref="F5:F68" si="0">D5-E5</f>
        <v>0</v>
      </c>
      <c r="G5" s="8"/>
      <c r="H5" s="9"/>
      <c r="I5" s="25"/>
    </row>
    <row r="6" spans="1:12" ht="15" thickBot="1" x14ac:dyDescent="0.35">
      <c r="A6" s="72">
        <f>SUM(D3:D150)</f>
        <v>0</v>
      </c>
      <c r="B6" s="73"/>
      <c r="C6" s="54"/>
      <c r="D6" s="28"/>
      <c r="E6" s="28"/>
      <c r="F6" s="23">
        <f t="shared" si="0"/>
        <v>0</v>
      </c>
      <c r="G6" s="8"/>
      <c r="H6" s="9"/>
      <c r="I6" s="25"/>
    </row>
    <row r="7" spans="1:12" ht="15.6" thickTop="1" thickBot="1" x14ac:dyDescent="0.35">
      <c r="A7" s="70" t="s">
        <v>11</v>
      </c>
      <c r="B7" s="71"/>
      <c r="C7" s="54"/>
      <c r="D7" s="28"/>
      <c r="E7" s="28"/>
      <c r="F7" s="23">
        <f t="shared" si="0"/>
        <v>0</v>
      </c>
      <c r="G7" s="8"/>
      <c r="H7" s="9"/>
      <c r="I7" s="25"/>
    </row>
    <row r="8" spans="1:12" x14ac:dyDescent="0.3">
      <c r="A8" s="10" t="s">
        <v>12</v>
      </c>
      <c r="B8" s="11" t="s">
        <v>13</v>
      </c>
      <c r="C8" s="54"/>
      <c r="D8" s="28"/>
      <c r="E8" s="28"/>
      <c r="F8" s="23">
        <f t="shared" si="0"/>
        <v>0</v>
      </c>
      <c r="G8" s="8"/>
      <c r="H8" s="9"/>
      <c r="I8" s="25"/>
    </row>
    <row r="9" spans="1:12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 t="shared" si="0"/>
        <v>0</v>
      </c>
      <c r="G9" s="8"/>
      <c r="H9" s="9"/>
      <c r="I9" s="25"/>
    </row>
    <row r="10" spans="1:12" x14ac:dyDescent="0.3">
      <c r="A10" s="12"/>
      <c r="B10" s="13"/>
      <c r="C10" s="54"/>
      <c r="D10" s="28"/>
      <c r="E10" s="28"/>
      <c r="F10" s="23">
        <f t="shared" si="0"/>
        <v>0</v>
      </c>
      <c r="G10" s="8"/>
      <c r="H10" s="9"/>
      <c r="I10" s="25"/>
    </row>
    <row r="11" spans="1:12" ht="15" thickBot="1" x14ac:dyDescent="0.35">
      <c r="A11" s="67" t="s">
        <v>14</v>
      </c>
      <c r="B11" s="69"/>
      <c r="C11" s="54"/>
      <c r="D11" s="28"/>
      <c r="E11" s="28"/>
      <c r="F11" s="23">
        <f t="shared" si="0"/>
        <v>0</v>
      </c>
      <c r="G11" s="8"/>
      <c r="H11" s="9"/>
      <c r="I11" s="25"/>
    </row>
    <row r="12" spans="1:12" x14ac:dyDescent="0.3">
      <c r="A12" s="10" t="s">
        <v>12</v>
      </c>
      <c r="B12" s="11" t="s">
        <v>13</v>
      </c>
      <c r="C12" s="54"/>
      <c r="D12" s="28"/>
      <c r="E12" s="28"/>
      <c r="F12" s="23">
        <f t="shared" si="0"/>
        <v>0</v>
      </c>
      <c r="G12" s="8"/>
      <c r="H12" s="9"/>
      <c r="I12" s="25"/>
    </row>
    <row r="13" spans="1:12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 t="shared" si="0"/>
        <v>0</v>
      </c>
      <c r="G13" s="8"/>
      <c r="H13" s="9"/>
      <c r="I13" s="25"/>
    </row>
    <row r="14" spans="1:12" x14ac:dyDescent="0.3">
      <c r="A14" s="14"/>
      <c r="B14" s="15"/>
      <c r="C14" s="54"/>
      <c r="D14" s="28"/>
      <c r="E14" s="28"/>
      <c r="F14" s="23">
        <f t="shared" si="0"/>
        <v>0</v>
      </c>
      <c r="G14" s="8"/>
      <c r="H14" s="9"/>
      <c r="I14" s="25"/>
    </row>
    <row r="15" spans="1:12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 t="shared" si="0"/>
        <v>0</v>
      </c>
      <c r="G15" s="8"/>
      <c r="H15" s="9"/>
      <c r="I15" s="25"/>
    </row>
    <row r="16" spans="1:12" x14ac:dyDescent="0.3">
      <c r="A16" s="61"/>
      <c r="B16" s="62"/>
      <c r="C16" s="54"/>
      <c r="D16" s="28"/>
      <c r="E16" s="28"/>
      <c r="F16" s="23">
        <f t="shared" si="0"/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 t="shared" si="0"/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 t="shared" si="0"/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 t="shared" si="0"/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 t="shared" si="0"/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 t="shared" si="0"/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 t="shared" si="0"/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 t="shared" si="0"/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 t="shared" si="0"/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 t="shared" si="0"/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 t="shared" si="0"/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 t="shared" si="0"/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 t="shared" si="0"/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 t="shared" si="0"/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 t="shared" si="0"/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 t="shared" si="0"/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 t="shared" si="0"/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 t="shared" si="0"/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 t="shared" si="0"/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 t="shared" si="0"/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 t="shared" si="0"/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 t="shared" si="0"/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 t="shared" si="0"/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 t="shared" si="0"/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 t="shared" si="0"/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 t="shared" si="0"/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 t="shared" si="0"/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 t="shared" si="0"/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 t="shared" si="0"/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 t="shared" si="0"/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 t="shared" si="0"/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 t="shared" si="0"/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 t="shared" si="0"/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 t="shared" si="0"/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 t="shared" si="0"/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 t="shared" si="0"/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 t="shared" si="0"/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 t="shared" si="0"/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 t="shared" si="0"/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 t="shared" si="0"/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 t="shared" si="0"/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 t="shared" si="0"/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 t="shared" si="0"/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 t="shared" si="0"/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 t="shared" si="0"/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 t="shared" si="0"/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 t="shared" si="0"/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 t="shared" si="0"/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 t="shared" si="0"/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 t="shared" si="0"/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 t="shared" si="0"/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 t="shared" si="0"/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 t="shared" si="0"/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 t="shared" ref="F69:F132" si="1">D69-E69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 t="shared" si="1"/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 t="shared" si="1"/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 t="shared" si="1"/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 t="shared" si="1"/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 t="shared" si="1"/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 t="shared" si="1"/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 t="shared" si="1"/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 t="shared" si="1"/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 t="shared" si="1"/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 t="shared" si="1"/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 t="shared" si="1"/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 t="shared" si="1"/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 t="shared" si="1"/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 t="shared" si="1"/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 t="shared" si="1"/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 t="shared" si="1"/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 t="shared" si="1"/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 t="shared" si="1"/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 t="shared" si="1"/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 t="shared" si="1"/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 t="shared" si="1"/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 t="shared" si="1"/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 t="shared" si="1"/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 t="shared" si="1"/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 t="shared" si="1"/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 t="shared" si="1"/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 t="shared" si="1"/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 t="shared" si="1"/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 t="shared" si="1"/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 t="shared" si="1"/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 t="shared" si="1"/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 t="shared" si="1"/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 t="shared" si="1"/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 t="shared" si="1"/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 t="shared" si="1"/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 t="shared" si="1"/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 t="shared" si="1"/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 t="shared" si="1"/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 t="shared" si="1"/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 t="shared" si="1"/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 t="shared" si="1"/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 t="shared" si="1"/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 t="shared" si="1"/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 t="shared" si="1"/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 t="shared" si="1"/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 t="shared" si="1"/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 t="shared" si="1"/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 t="shared" si="1"/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 t="shared" si="1"/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 t="shared" si="1"/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 t="shared" si="1"/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 t="shared" si="1"/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 t="shared" si="1"/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 t="shared" si="1"/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 t="shared" si="1"/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 t="shared" si="1"/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 t="shared" si="1"/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 t="shared" si="1"/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 t="shared" si="1"/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 t="shared" si="1"/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 t="shared" si="1"/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 t="shared" si="1"/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 t="shared" si="1"/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 t="shared" ref="F133:F150" si="2">D133-E133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 t="shared" si="2"/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 t="shared" si="2"/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 t="shared" si="2"/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 t="shared" si="2"/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 t="shared" si="2"/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 t="shared" si="2"/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 t="shared" si="2"/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 t="shared" si="2"/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 t="shared" si="2"/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 t="shared" si="2"/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 t="shared" si="2"/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 t="shared" si="2"/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 t="shared" si="2"/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 t="shared" si="2"/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 t="shared" si="2"/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 t="shared" si="2"/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 t="shared" si="2"/>
        <v>0</v>
      </c>
      <c r="G150" s="16"/>
      <c r="H150" s="17"/>
      <c r="I150" s="26"/>
    </row>
  </sheetData>
  <mergeCells count="10">
    <mergeCell ref="A15:B17"/>
    <mergeCell ref="A1:B2"/>
    <mergeCell ref="C1:F1"/>
    <mergeCell ref="H1:I1"/>
    <mergeCell ref="A11:B11"/>
    <mergeCell ref="A7:B7"/>
    <mergeCell ref="A6:B6"/>
    <mergeCell ref="A5:B5"/>
    <mergeCell ref="A4:B4"/>
    <mergeCell ref="A3:B3"/>
  </mergeCells>
  <conditionalFormatting sqref="C3">
    <cfRule type="expression" dxfId="23" priority="2">
      <formula>XFD3&lt;&gt;""</formula>
    </cfRule>
  </conditionalFormatting>
  <conditionalFormatting sqref="C4:C54">
    <cfRule type="expression" dxfId="22" priority="1">
      <formula>XFD4&lt;&gt;""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B9114-375D-49DC-8653-1ED245BE4D7A}">
  <sheetPr codeName="Sheet6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15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Jan!F3+(D3-E3)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Jan!F4+(D4-E4)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Jan!F5+(D5-E5)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Jan!F6+(D6-E6)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Jan!F7+(D7-E7)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Jan!F8+(D8-E8)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Jan!F9+(D9-E9)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Jan!F10+(D10-E10)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Jan!F11+(D11-E11)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Jan!F12+(D12-E12)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Jan!F13+(D13-E13)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Jan!F14+(D14-E14)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Jan!F15+(D15-E15)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Jan!F16+(D16-E16)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Jan!F17+(D17-E17)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Jan!F18+(D18-E18)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Jan!F19+(D19-E19)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Jan!F20+(D20-E20)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Jan!F21+(D21-E21)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Jan!F22+(D22-E22)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Jan!F23+(D23-E23)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Jan!F24+(D24-E24)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Jan!F25+(D25-E25)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Jan!F26+(D26-E26)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Jan!F27+(D27-E27)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Jan!F28+(D28-E28)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Jan!F29+(D29-E29)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Jan!F30+(D30-E30)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Jan!F31+(D31-E31)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Jan!F32+(D32-E32)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Jan!F33+(D33-E33)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Jan!F34+(D34-E34)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Jan!F35+(D35-E35)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Jan!F36+(D36-E36)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Jan!F37+(D37-E37)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Jan!F38+(D38-E38)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Jan!F39+(D39-E39)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Jan!F40+(D40-E40)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Jan!F41+(D41-E41)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Jan!F42+(D42-E42)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Jan!F43+(D43-E43)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Jan!F44+(D44-E44)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Jan!F45+(D45-E45)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Jan!F46+(D46-E46)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Jan!F47+(D47-E47)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Jan!F48+(D48-E48)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Jan!F49+(D49-E49)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Jan!F50+(D50-E50)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Jan!F51+(D51-E51)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Jan!F52+(D52-E52)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Jan!F53+(D53-E53)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Jan!F54+(D54-E54)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Jan!F55+(D55-E55)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Jan!F56+(D56-E56)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Jan!F57+(D57-E57)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Jan!F58+(D58-E58)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Jan!F59+(D59-E59)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Jan!F60+(D60-E60)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Jan!F61+(D61-E61)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Jan!F62+(D62-E62)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Jan!F63+(D63-E63)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Jan!F64+(D64-E64)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Jan!F65+(D65-E65)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Jan!F66+(D66-E66)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Jan!F67+(D67-E67)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Jan!F68+(D68-E68)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Jan!F69+(D69-E69)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Jan!F70+(D70-E70)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Jan!F71+(D71-E71)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Jan!F72+(D72-E72)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Jan!F73+(D73-E73)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Jan!F74+(D74-E74)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Jan!F75+(D75-E75)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Jan!F76+(D76-E76)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Jan!F77+(D77-E77)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Jan!F78+(D78-E78)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Jan!F79+(D79-E79)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Jan!F80+(D80-E80)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Jan!F81+(D81-E81)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Jan!F82+(D82-E82)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Jan!F83+(D83-E83)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Jan!F84+(D84-E84)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Jan!F85+(D85-E85)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Jan!F86+(D86-E86)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Jan!F87+(D87-E87)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Jan!F88+(D88-E88)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Jan!F89+(D89-E89)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Jan!F90+(D90-E90)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Jan!F91+(D91-E91)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Jan!F92+(D92-E92)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Jan!F93+(D93-E93)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Jan!F94+(D94-E94)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Jan!F95+(D95-E95)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Jan!F96+(D96-E96)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Jan!F97+(D97-E97)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Jan!F98+(D98-E98)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Jan!F99+(D99-E99)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Jan!F100+(D100-E100)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Jan!F101+(D101-E101)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Jan!F102+(D102-E102)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Jan!F103+(D103-E103)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Jan!F104+(D104-E104)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Jan!F105+(D105-E105)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Jan!F106+(D106-E106)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Jan!F107+(D107-E107)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Jan!F108+(D108-E108)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Jan!F109+(D109-E109)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Jan!F110+(D110-E110)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Jan!F111+(D111-E111)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Jan!F112+(D112-E112)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Jan!F113+(D113-E113)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Jan!F114+(D114-E114)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Jan!F115+(D115-E115)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Jan!F116+(D116-E116)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Jan!F117+(D117-E117)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Jan!F118+(D118-E118)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Jan!F119+(D119-E119)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Jan!F120+(D120-E120)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Jan!F121+(D121-E121)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Jan!F122+(D122-E122)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Jan!F123+(D123-E123)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Jan!F124+(D124-E124)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Jan!F125+(D125-E125)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Jan!F126+(D126-E126)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Jan!F127+(D127-E127)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Jan!F128+(D128-E128)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Jan!F129+(D129-E129)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Jan!F130+(D130-E130)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Jan!F131+(D131-E131)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Jan!F132+(D132-E132)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Jan!F133+(D133-E133)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Jan!F134+(D134-E134)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Jan!F135+(D135-E135)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Jan!F136+(D136-E136)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Jan!F137+(D137-E137)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Jan!F138+(D138-E138)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Jan!F139+(D139-E139)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Jan!F140+(D140-E140)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Jan!F141+(D141-E141)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Jan!F142+(D142-E142)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Jan!F143+(D143-E143)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Jan!F144+(D144-E144)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Jan!F145+(D145-E145)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Jan!F146+(D146-E146)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Jan!F147+(D147-E147)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Jan!F148+(D148-E148)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Jan!F149+(D149-E149)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Jan!F150+(D150-E150)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21" priority="2">
      <formula>XFD3&lt;&gt;""</formula>
    </cfRule>
  </conditionalFormatting>
  <conditionalFormatting sqref="C4:C54">
    <cfRule type="expression" dxfId="20" priority="1">
      <formula>XFD4&lt;&gt;""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3A26-AC20-44BF-AC00-D2AD7F2DCEEA}">
  <sheetPr codeName="Sheet7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16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Feb!F3+(D3-E3)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Feb!F4+(D4-E4)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Feb!F5+(D5-E5)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Feb!F6+(D6-E6)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Feb!F7+(D7-E7)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Feb!F8+(D8-E8)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Feb!F9+(D9-E9)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Feb!F10+(D10-E10)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Feb!F11+(D11-E11)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Feb!F12+(D12-E12)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Feb!F13+(D13-E13)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Feb!F14+(D14-E14)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Feb!F15+(D15-E15)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Feb!F16+(D16-E16)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Feb!F17+(D17-E17)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Feb!F18+(D18-E18)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Feb!F19+(D19-E19)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Feb!F20+(D20-E20)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Feb!F21+(D21-E21)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Feb!F22+(D22-E22)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Feb!F23+(D23-E23)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Feb!F24+(D24-E24)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Feb!F25+(D25-E25)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Feb!F26+(D26-E26)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Feb!F27+(D27-E27)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Feb!F28+(D28-E28)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Feb!F29+(D29-E29)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Feb!F30+(D30-E30)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Feb!F31+(D31-E31)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Feb!F32+(D32-E32)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Feb!F33+(D33-E33)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Feb!F34+(D34-E34)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Feb!F35+(D35-E35)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Feb!F36+(D36-E36)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Feb!F37+(D37-E37)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Feb!F38+(D38-E38)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Feb!F39+(D39-E39)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Feb!F40+(D40-E40)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Feb!F41+(D41-E41)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Feb!F42+(D42-E42)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Feb!F43+(D43-E43)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Feb!F44+(D44-E44)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Feb!F45+(D45-E45)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Feb!F46+(D46-E46)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Feb!F47+(D47-E47)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Feb!F48+(D48-E48)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Feb!F49+(D49-E49)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Feb!F50+(D50-E50)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Feb!F51+(D51-E51)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Feb!F52+(D52-E52)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Feb!F53+(D53-E53)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Feb!F54+(D54-E54)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Feb!F55+(D55-E55)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Feb!F56+(D56-E56)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Feb!F57+(D57-E57)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Feb!F58+(D58-E58)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Feb!F59+(D59-E59)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Feb!F60+(D60-E60)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Feb!F61+(D61-E61)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Feb!F62+(D62-E62)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Feb!F63+(D63-E63)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Feb!F64+(D64-E64)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Feb!F65+(D65-E65)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Feb!F66+(D66-E66)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Feb!F67+(D67-E67)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Feb!F68+(D68-E68)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Feb!F69+(D69-E69)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Feb!F70+(D70-E70)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Feb!F71+(D71-E71)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Feb!F72+(D72-E72)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Feb!F73+(D73-E73)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Feb!F74+(D74-E74)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Feb!F75+(D75-E75)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Feb!F76+(D76-E76)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Feb!F77+(D77-E77)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Feb!F78+(D78-E78)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Feb!F79+(D79-E79)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Feb!F80+(D80-E80)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Feb!F81+(D81-E81)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Feb!F82+(D82-E82)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Feb!F83+(D83-E83)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Feb!F84+(D84-E84)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Feb!F85+(D85-E85)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Feb!F86+(D86-E86)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Feb!F87+(D87-E87)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Feb!F88+(D88-E88)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Feb!F89+(D89-E89)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Feb!F90+(D90-E90)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Feb!F91+(D91-E91)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Feb!F92+(D92-E92)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Feb!F93+(D93-E93)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Feb!F94+(D94-E94)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Feb!F95+(D95-E95)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Feb!F96+(D96-E96)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Feb!F97+(D97-E97)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Feb!F98+(D98-E98)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Feb!F99+(D99-E99)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Feb!F100+(D100-E100)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Feb!F101+(D101-E101)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Feb!F102+(D102-E102)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Feb!F103+(D103-E103)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Feb!F104+(D104-E104)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Feb!F105+(D105-E105)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Feb!F106+(D106-E106)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Feb!F107+(D107-E107)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Feb!F108+(D108-E108)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Feb!F109+(D109-E109)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Feb!F110+(D110-E110)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Feb!F111+(D111-E111)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Feb!F112+(D112-E112)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Feb!F113+(D113-E113)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Feb!F114+(D114-E114)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Feb!F115+(D115-E115)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Feb!F116+(D116-E116)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Feb!F117+(D117-E117)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Feb!F118+(D118-E118)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Feb!F119+(D119-E119)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Feb!F120+(D120-E120)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Feb!F121+(D121-E121)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Feb!F122+(D122-E122)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Feb!F123+(D123-E123)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Feb!F124+(D124-E124)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Feb!F125+(D125-E125)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Feb!F126+(D126-E126)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Feb!F127+(D127-E127)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Feb!F128+(D128-E128)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Feb!F129+(D129-E129)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Feb!F130+(D130-E130)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Feb!F131+(D131-E131)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Feb!F132+(D132-E132)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Feb!F133+(D133-E133)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Feb!F134+(D134-E134)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Feb!F135+(D135-E135)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Feb!F136+(D136-E136)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Feb!F137+(D137-E137)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Feb!F138+(D138-E138)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Feb!F139+(D139-E139)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Feb!F140+(D140-E140)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Feb!F141+(D141-E141)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Feb!F142+(D142-E142)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Feb!F143+(D143-E143)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Feb!F144+(D144-E144)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Feb!F145+(D145-E145)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Feb!F146+(D146-E146)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Feb!F147+(D147-E147)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Feb!F148+(D148-E148)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Feb!F149+(D149-E149)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Feb!F150+(D150-E150)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9" priority="2">
      <formula>XFD3&lt;&gt;""</formula>
    </cfRule>
  </conditionalFormatting>
  <conditionalFormatting sqref="C4:C54">
    <cfRule type="expression" dxfId="18" priority="1">
      <formula>XFD4&lt;&gt;""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6514B-8127-4557-8415-CED30B9C4407}">
  <sheetPr codeName="Sheet8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17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Mar!F3+(D3-E3)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Mar!F4+(D4-E4)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Mar!F5+(D5-E5)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Mar!F6+(D6-E6)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Mar!F7+(D7-E7)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Mar!F8+(D8-E8)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Mar!F9+(D9-E9)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Mar!F10+(D10-E10)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Mar!F11+(D11-E11)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Mar!F12+(D12-E12)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Mar!F13+(D13-E13)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Mar!F14+(D14-E14)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Mar!F15+(D15-E15)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Mar!F16+(D16-E16)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Mar!F17+(D17-E17)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Mar!F18+(D18-E18)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Mar!F19+(D19-E19)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Mar!F20+(D20-E20)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Mar!F21+(D21-E21)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Mar!F22+(D22-E22)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Mar!F23+(D23-E23)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Mar!F24+(D24-E24)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Mar!F25+(D25-E25)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Mar!F26+(D26-E26)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Mar!F27+(D27-E27)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Mar!F28+(D28-E28)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Mar!F29+(D29-E29)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Mar!F30+(D30-E30)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Mar!F31+(D31-E31)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Mar!F32+(D32-E32)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Mar!F33+(D33-E33)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Mar!F34+(D34-E34)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Mar!F35+(D35-E35)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Mar!F36+(D36-E36)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Mar!F37+(D37-E37)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Mar!F38+(D38-E38)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Mar!F39+(D39-E39)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Mar!F40+(D40-E40)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Mar!F41+(D41-E41)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Mar!F42+(D42-E42)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Mar!F43+(D43-E43)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Mar!F44+(D44-E44)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Mar!F45+(D45-E45)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Mar!F46+(D46-E46)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Mar!F47+(D47-E47)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Mar!F48+(D48-E48)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Mar!F49+(D49-E49)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Mar!F50+(D50-E50)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Mar!F51+(D51-E51)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Mar!F52+(D52-E52)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Mar!F53+(D53-E53)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Mar!F54+(D54-E54)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Mar!F55+(D55-E55)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Mar!F56+(D56-E56)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Mar!F57+(D57-E57)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Mar!F58+(D58-E58)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Mar!F59+(D59-E59)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Mar!F60+(D60-E60)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Mar!F61+(D61-E61)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Mar!F62+(D62-E62)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Mar!F63+(D63-E63)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Mar!F64+(D64-E64)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Mar!F65+(D65-E65)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Mar!F66+(D66-E66)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Mar!F67+(D67-E67)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Mar!F68+(D68-E68)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Mar!F69+(D69-E69)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Mar!F70+(D70-E70)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Mar!F71+(D71-E71)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Mar!F72+(D72-E72)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Mar!F73+(D73-E73)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Mar!F74+(D74-E74)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Mar!F75+(D75-E75)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Mar!F76+(D76-E76)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Mar!F77+(D77-E77)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Mar!F78+(D78-E78)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Mar!F79+(D79-E79)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Mar!F80+(D80-E80)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Mar!F81+(D81-E81)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Mar!F82+(D82-E82)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Mar!F83+(D83-E83)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Mar!F84+(D84-E84)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Mar!F85+(D85-E85)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Mar!F86+(D86-E86)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Mar!F87+(D87-E87)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Mar!F88+(D88-E88)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Mar!F89+(D89-E89)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Mar!F90+(D90-E90)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Mar!F91+(D91-E91)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Mar!F92+(D92-E92)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Mar!F93+(D93-E93)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Mar!F94+(D94-E94)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Mar!F95+(D95-E95)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Mar!F96+(D96-E96)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Mar!F97+(D97-E97)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Mar!F98+(D98-E98)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Mar!F99+(D99-E99)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Mar!F100+(D100-E100)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Mar!F101+(D101-E101)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Mar!F102+(D102-E102)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Mar!F103+(D103-E103)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Mar!F104+(D104-E104)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Mar!F105+(D105-E105)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Mar!F106+(D106-E106)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Mar!F107+(D107-E107)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Mar!F108+(D108-E108)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Mar!F109+(D109-E109)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Mar!F110+(D110-E110)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Mar!F111+(D111-E111)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Mar!F112+(D112-E112)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Mar!F113+(D113-E113)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Mar!F114+(D114-E114)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Mar!F115+(D115-E115)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Mar!F116+(D116-E116)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Mar!F117+(D117-E117)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Mar!F118+(D118-E118)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Mar!F119+(D119-E119)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Mar!F120+(D120-E120)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Mar!F121+(D121-E121)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Mar!F122+(D122-E122)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Mar!F123+(D123-E123)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Mar!F124+(D124-E124)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Mar!F125+(D125-E125)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Mar!F126+(D126-E126)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Mar!F127+(D127-E127)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Mar!F128+(D128-E128)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Mar!F129+(D129-E129)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Mar!F130+(D130-E130)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Mar!F131+(D131-E131)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Mar!F132+(D132-E132)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Mar!F133+(D133-E133)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Mar!F134+(D134-E134)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Mar!F135+(D135-E135)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Mar!F136+(D136-E136)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Mar!F137+(D137-E137)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Mar!F138+(D138-E138)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Mar!F139+(D139-E139)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Mar!F140+(D140-E140)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Mar!F141+(D141-E141)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Mar!F142+(D142-E142)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Mar!F143+(D143-E143)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Mar!F144+(D144-E144)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Mar!F145+(D145-E145)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Mar!F146+(D146-E146)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Mar!F147+(D147-E147)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Mar!F148+(D148-E148)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Mar!F149+(D149-E149)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Mar!F150+(D150-E150)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7" priority="2">
      <formula>XFD3&lt;&gt;""</formula>
    </cfRule>
  </conditionalFormatting>
  <conditionalFormatting sqref="C4:C54">
    <cfRule type="expression" dxfId="16" priority="1">
      <formula>XFD4&lt;&gt;""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5F1A2-05B7-450B-AC33-29CB332ACD76}">
  <sheetPr codeName="Sheet9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18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Apr!F3+(D3-E3)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Apr!F4+(D4-E4)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Apr!F5+(D5-E5)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Apr!F6+(D6-E6)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Apr!F7+(D7-E7)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Apr!F8+(D8-E8)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Apr!F9+(D9-E9)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Apr!F10+(D10-E10)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Apr!F11+(D11-E11)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Apr!F12+(D12-E12)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Apr!F13+(D13-E13)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Apr!F14+(D14-E14)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Apr!F15+(D15-E15)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Apr!F16+(D16-E16)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Apr!F17+(D17-E17)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Apr!F18+(D18-E18)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Apr!F19+(D19-E19)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Apr!F20+(D20-E20)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Apr!F21+(D21-E21)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Apr!F22+(D22-E22)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Apr!F23+(D23-E23)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Apr!F24+(D24-E24)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Apr!F25+(D25-E25)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Apr!F26+(D26-E26)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Apr!F27+(D27-E27)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Apr!F28+(D28-E28)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Apr!F29+(D29-E29)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Apr!F30+(D30-E30)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Apr!F31+(D31-E31)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Apr!F32+(D32-E32)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Apr!F33+(D33-E33)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Apr!F34+(D34-E34)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Apr!F35+(D35-E35)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Apr!F36+(D36-E36)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Apr!F37+(D37-E37)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Apr!F38+(D38-E38)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Apr!F39+(D39-E39)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Apr!F40+(D40-E40)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Apr!F41+(D41-E41)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Apr!F42+(D42-E42)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Apr!F43+(D43-E43)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Apr!F44+(D44-E44)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Apr!F45+(D45-E45)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Apr!F46+(D46-E46)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Apr!F47+(D47-E47)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Apr!F48+(D48-E48)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Apr!F49+(D49-E49)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Apr!F50+(D50-E50)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Apr!F51+(D51-E51)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Apr!F52+(D52-E52)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Apr!F53+(D53-E53)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Apr!F54+(D54-E54)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Apr!F55+(D55-E55)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Apr!F56+(D56-E56)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Apr!F57+(D57-E57)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Apr!F58+(D58-E58)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Apr!F59+(D59-E59)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Apr!F60+(D60-E60)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Apr!F61+(D61-E61)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Apr!F62+(D62-E62)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Apr!F63+(D63-E63)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Apr!F64+(D64-E64)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Apr!F65+(D65-E65)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Apr!F66+(D66-E66)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Apr!F67+(D67-E67)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Apr!F68+(D68-E68)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Apr!F69+(D69-E69)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Apr!F70+(D70-E70)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Apr!F71+(D71-E71)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Apr!F72+(D72-E72)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Apr!F73+(D73-E73)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Apr!F74+(D74-E74)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Apr!F75+(D75-E75)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Apr!F76+(D76-E76)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Apr!F77+(D77-E77)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Apr!F78+(D78-E78)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Apr!F79+(D79-E79)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Apr!F80+(D80-E80)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Apr!F81+(D81-E81)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Apr!F82+(D82-E82)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Apr!F83+(D83-E83)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Apr!F84+(D84-E84)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Apr!F85+(D85-E85)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Apr!F86+(D86-E86)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Apr!F87+(D87-E87)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Apr!F88+(D88-E88)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Apr!F89+(D89-E89)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Apr!F90+(D90-E90)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Apr!F91+(D91-E91)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Apr!F92+(D92-E92)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Apr!F93+(D93-E93)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Apr!F94+(D94-E94)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Apr!F95+(D95-E95)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Apr!F96+(D96-E96)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Apr!F97+(D97-E97)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Apr!F98+(D98-E98)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Apr!F99+(D99-E99)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Apr!F100+(D100-E100)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Apr!F101+(D101-E101)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Apr!F102+(D102-E102)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Apr!F103+(D103-E103)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Apr!F104+(D104-E104)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Apr!F105+(D105-E105)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Apr!F106+(D106-E106)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Apr!F107+(D107-E107)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Apr!F108+(D108-E108)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Apr!F109+(D109-E109)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Apr!F110+(D110-E110)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Apr!F111+(D111-E111)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Apr!F112+(D112-E112)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Apr!F113+(D113-E113)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Apr!F114+(D114-E114)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Apr!F115+(D115-E115)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Apr!F116+(D116-E116)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Apr!F117+(D117-E117)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Apr!F118+(D118-E118)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Apr!F119+(D119-E119)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Apr!F120+(D120-E120)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Apr!F121+(D121-E121)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Apr!F122+(D122-E122)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Apr!F123+(D123-E123)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Apr!F124+(D124-E124)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Apr!F125+(D125-E125)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Apr!F126+(D126-E126)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Apr!F127+(D127-E127)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Apr!F128+(D128-E128)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Apr!F129+(D129-E129)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Apr!F130+(D130-E130)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Apr!F131+(D131-E131)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Apr!F132+(D132-E132)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Apr!F133+(D133-E133)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Apr!F134+(D134-E134)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Apr!F135+(D135-E135)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Apr!F136+(D136-E136)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Apr!F137+(D137-E137)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Apr!F138+(D138-E138)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Apr!F139+(D139-E139)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Apr!F140+(D140-E140)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Apr!F141+(D141-E141)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Apr!F142+(D142-E142)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Apr!F143+(D143-E143)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Apr!F144+(D144-E144)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Apr!F145+(D145-E145)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Apr!F146+(D146-E146)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Apr!F147+(D147-E147)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Apr!F148+(D148-E148)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Apr!F149+(D149-E149)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Apr!F150+(D150-E150)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5" priority="2">
      <formula>XFD3&lt;&gt;""</formula>
    </cfRule>
  </conditionalFormatting>
  <conditionalFormatting sqref="C4:C54">
    <cfRule type="expression" dxfId="14" priority="1">
      <formula>XFD4&lt;&gt;""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C3D5-89BC-43F5-B9B2-7642FD8BA7A1}">
  <sheetPr codeName="Sheet10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19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May!F3+(D3-E3)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May!F4+(D4-E4)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May!F5+(D5-E5)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May!F6+(D6-E6)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May!F7+(D7-E7)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May!F8+(D8-E8)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May!F9+(D9-E9)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May!F10+(D10-E10)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May!F11+(D11-E11)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May!F12+(D12-E12)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May!F13+(D13-E13)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May!F14+(D14-E14)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May!F15+(D15-E15)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May!F16+(D16-E16)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May!F17+(D17-E17)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May!F18+(D18-E18)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May!F19+(D19-E19)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May!F20+(D20-E20)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May!F21+(D21-E21)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May!F22+(D22-E22)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May!F23+(D23-E23)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May!F24+(D24-E24)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May!F25+(D25-E25)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May!F26+(D26-E26)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May!F27+(D27-E27)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May!F28+(D28-E28)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May!F29+(D29-E29)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May!F30+(D30-E30)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May!F31+(D31-E31)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May!F32+(D32-E32)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May!F33+(D33-E33)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May!F34+(D34-E34)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May!F35+(D35-E35)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May!F36+(D36-E36)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May!F37+(D37-E37)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May!F38+(D38-E38)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May!F39+(D39-E39)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May!F40+(D40-E40)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May!F41+(D41-E41)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May!F42+(D42-E42)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May!F43+(D43-E43)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May!F44+(D44-E44)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May!F45+(D45-E45)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May!F46+(D46-E46)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May!F47+(D47-E47)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May!F48+(D48-E48)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May!F49+(D49-E49)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May!F50+(D50-E50)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May!F51+(D51-E51)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May!F52+(D52-E52)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May!F53+(D53-E53)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May!F54+(D54-E54)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May!F55+(D55-E55)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May!F56+(D56-E56)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May!F57+(D57-E57)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May!F58+(D58-E58)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May!F59+(D59-E59)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May!F60+(D60-E60)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May!F61+(D61-E61)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May!F62+(D62-E62)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May!F63+(D63-E63)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May!F64+(D64-E64)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May!F65+(D65-E65)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May!F66+(D66-E66)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May!F67+(D67-E67)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May!F68+(D68-E68)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May!F69+(D69-E69)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May!F70+(D70-E70)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May!F71+(D71-E71)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May!F72+(D72-E72)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May!F73+(D73-E73)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May!F74+(D74-E74)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May!F75+(D75-E75)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May!F76+(D76-E76)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May!F77+(D77-E77)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May!F78+(D78-E78)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May!F79+(D79-E79)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May!F80+(D80-E80)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May!F81+(D81-E81)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May!F82+(D82-E82)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May!F83+(D83-E83)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May!F84+(D84-E84)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May!F85+(D85-E85)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May!F86+(D86-E86)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May!F87+(D87-E87)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May!F88+(D88-E88)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May!F89+(D89-E89)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May!F90+(D90-E90)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May!F91+(D91-E91)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May!F92+(D92-E92)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May!F93+(D93-E93)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May!F94+(D94-E94)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May!F95+(D95-E95)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May!F96+(D96-E96)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May!F97+(D97-E97)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May!F98+(D98-E98)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May!F99+(D99-E99)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May!F100+(D100-E100)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May!F101+(D101-E101)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May!F102+(D102-E102)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May!F103+(D103-E103)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May!F104+(D104-E104)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May!F105+(D105-E105)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May!F106+(D106-E106)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May!F107+(D107-E107)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May!F108+(D108-E108)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May!F109+(D109-E109)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May!F110+(D110-E110)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May!F111+(D111-E111)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May!F112+(D112-E112)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May!F113+(D113-E113)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May!F114+(D114-E114)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May!F115+(D115-E115)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May!F116+(D116-E116)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May!F117+(D117-E117)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May!F118+(D118-E118)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May!F119+(D119-E119)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May!F120+(D120-E120)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May!F121+(D121-E121)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May!F122+(D122-E122)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May!F123+(D123-E123)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May!F124+(D124-E124)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May!F125+(D125-E125)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May!F126+(D126-E126)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May!F127+(D127-E127)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May!F128+(D128-E128)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May!F129+(D129-E129)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May!F130+(D130-E130)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May!F131+(D131-E131)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May!F132+(D132-E132)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May!F133+(D133-E133)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May!F134+(D134-E134)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May!F135+(D135-E135)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May!F136+(D136-E136)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May!F137+(D137-E137)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May!F138+(D138-E138)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May!F139+(D139-E139)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May!F140+(D140-E140)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May!F141+(D141-E141)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May!F142+(D142-E142)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May!F143+(D143-E143)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May!F144+(D144-E144)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May!F145+(D145-E145)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May!F146+(D146-E146)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May!F147+(D147-E147)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May!F148+(D148-E148)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May!F149+(D149-E149)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May!F150+(D150-E150)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3" priority="2">
      <formula>XFD3&lt;&gt;""</formula>
    </cfRule>
  </conditionalFormatting>
  <conditionalFormatting sqref="C4:C54">
    <cfRule type="expression" dxfId="12" priority="1">
      <formula>XFD4&lt;&gt;""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2167-3FEB-4358-9822-B3CA1847D8CA}">
  <sheetPr codeName="Sheet11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20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Jun!F3+(D3-E3)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Jun!F4+(D4-E4)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Jun!F5+(D5-E5)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Jun!F6+(D6-E6)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Jun!F7+(D7-E7)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Jun!F8+(D8-E8)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Jun!F9+(D9-E9)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Jun!F10+(D10-E10)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Jun!F11+(D11-E11)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Jun!F12+(D12-E12)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Jun!F13+(D13-E13)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Jun!F14+(D14-E14)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Jun!F15+(D15-E15)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Jun!F16+(D16-E16)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Jun!F17+(D17-E17)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Jun!F18+(D18-E18)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Jun!F19+(D19-E19)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Jun!F20+(D20-E20)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Jun!F21+(D21-E21)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Jun!F22+(D22-E22)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Jun!F23+(D23-E23)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Jun!F24+(D24-E24)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Jun!F25+(D25-E25)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Jun!F26+(D26-E26)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Jun!F27+(D27-E27)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Jun!F28+(D28-E28)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Jun!F29+(D29-E29)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Jun!F30+(D30-E30)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Jun!F31+(D31-E31)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Jun!F32+(D32-E32)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Jun!F33+(D33-E33)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Jun!F34+(D34-E34)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Jun!F35+(D35-E35)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Jun!F36+(D36-E36)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Jun!F37+(D37-E37)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Jun!F38+(D38-E38)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Jun!F39+(D39-E39)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Jun!F40+(D40-E40)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Jun!F41+(D41-E41)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Jun!F42+(D42-E42)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Jun!F43+(D43-E43)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Jun!F44+(D44-E44)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Jun!F45+(D45-E45)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Jun!F46+(D46-E46)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Jun!F47+(D47-E47)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Jun!F48+(D48-E48)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Jun!F49+(D49-E49)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Jun!F50+(D50-E50)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Jun!F51+(D51-E51)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Jun!F52+(D52-E52)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Jun!F53+(D53-E53)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Jun!F54+(D54-E54)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Jun!F55+(D55-E55)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Jun!F56+(D56-E56)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Jun!F57+(D57-E57)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Jun!F58+(D58-E58)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Jun!F59+(D59-E59)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Jun!F60+(D60-E60)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Jun!F61+(D61-E61)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Jun!F62+(D62-E62)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Jun!F63+(D63-E63)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Jun!F64+(D64-E64)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Jun!F65+(D65-E65)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Jun!F66+(D66-E66)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Jun!F67+(D67-E67)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Jun!F68+(D68-E68)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Jun!F69+(D69-E69)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Jun!F70+(D70-E70)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Jun!F71+(D71-E71)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Jun!F72+(D72-E72)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Jun!F73+(D73-E73)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Jun!F74+(D74-E74)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Jun!F75+(D75-E75)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Jun!F76+(D76-E76)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Jun!F77+(D77-E77)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Jun!F78+(D78-E78)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Jun!F79+(D79-E79)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Jun!F80+(D80-E80)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Jun!F81+(D81-E81)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Jun!F82+(D82-E82)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Jun!F83+(D83-E83)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Jun!F84+(D84-E84)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Jun!F85+(D85-E85)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Jun!F86+(D86-E86)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Jun!F87+(D87-E87)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Jun!F88+(D88-E88)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Jun!F89+(D89-E89)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Jun!F90+(D90-E90)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Jun!F91+(D91-E91)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Jun!F92+(D92-E92)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Jun!F93+(D93-E93)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Jun!F94+(D94-E94)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Jun!F95+(D95-E95)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Jun!F96+(D96-E96)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Jun!F97+(D97-E97)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Jun!F98+(D98-E98)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Jun!F99+(D99-E99)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Jun!F100+(D100-E100)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Jun!F101+(D101-E101)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Jun!F102+(D102-E102)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Jun!F103+(D103-E103)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Jun!F104+(D104-E104)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Jun!F105+(D105-E105)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Jun!F106+(D106-E106)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Jun!F107+(D107-E107)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Jun!F108+(D108-E108)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Jun!F109+(D109-E109)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Jun!F110+(D110-E110)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Jun!F111+(D111-E111)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Jun!F112+(D112-E112)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Jun!F113+(D113-E113)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Jun!F114+(D114-E114)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Jun!F115+(D115-E115)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Jun!F116+(D116-E116)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Jun!F117+(D117-E117)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Jun!F118+(D118-E118)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Jun!F119+(D119-E119)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Jun!F120+(D120-E120)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Jun!F121+(D121-E121)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Jun!F122+(D122-E122)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Jun!F123+(D123-E123)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Jun!F124+(D124-E124)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Jun!F125+(D125-E125)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Jun!F126+(D126-E126)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Jun!F127+(D127-E127)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Jun!F128+(D128-E128)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Jun!F129+(D129-E129)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Jun!F130+(D130-E130)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Jun!F131+(D131-E131)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Jun!F132+(D132-E132)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Jun!F133+(D133-E133)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Jun!F134+(D134-E134)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Jun!F135+(D135-E135)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Jun!F136+(D136-E136)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Jun!F137+(D137-E137)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Jun!F138+(D138-E138)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Jun!F139+(D139-E139)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Jun!F140+(D140-E140)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Jun!F141+(D141-E141)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Jun!F142+(D142-E142)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Jun!F143+(D143-E143)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Jun!F144+(D144-E144)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Jun!F145+(D145-E145)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Jun!F146+(D146-E146)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Jun!F147+(D147-E147)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Jun!F148+(D148-E148)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Jun!F149+(D149-E149)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Jun!F150+(D150-E150)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1" priority="2">
      <formula>XFD3&lt;&gt;""</formula>
    </cfRule>
  </conditionalFormatting>
  <conditionalFormatting sqref="C4:C54">
    <cfRule type="expression" dxfId="10" priority="1">
      <formula>XFD4&lt;&gt;""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570E-2855-4AEC-AA09-3687BC3808A3}">
  <sheetPr codeName="Sheet12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21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Jul!F3+(D3-E3)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Jul!F4+(D4-E4)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Jul!F5+(D5-E5)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Jul!F6+(D6-E6)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Jul!F7+(D7-E7)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Jul!F8+(D8-E8)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Jul!F9+(D9-E9)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Jul!F10+(D10-E10)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Jul!F11+(D11-E11)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Jul!F12+(D12-E12)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Jul!F13+(D13-E13)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Jul!F14+(D14-E14)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Jul!F15+(D15-E15)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Jul!F16+(D16-E16)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Jul!F17+(D17-E17)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Jul!F18+(D18-E18)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Jul!F19+(D19-E19)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Jul!F20+(D20-E20)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Jul!F21+(D21-E21)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Jul!F22+(D22-E22)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Jul!F23+(D23-E23)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Jul!F24+(D24-E24)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Jul!F25+(D25-E25)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Jul!F26+(D26-E26)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Jul!F27+(D27-E27)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Jul!F28+(D28-E28)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Jul!F29+(D29-E29)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Jul!F30+(D30-E30)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Jul!F31+(D31-E31)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Jul!F32+(D32-E32)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Jul!F33+(D33-E33)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Jul!F34+(D34-E34)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Jul!F35+(D35-E35)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Jul!F36+(D36-E36)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Jul!F37+(D37-E37)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Jul!F38+(D38-E38)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Jul!F39+(D39-E39)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Jul!F40+(D40-E40)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Jul!F41+(D41-E41)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Jul!F42+(D42-E42)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Jul!F43+(D43-E43)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Jul!F44+(D44-E44)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Jul!F45+(D45-E45)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Jul!F46+(D46-E46)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Jul!F47+(D47-E47)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Jul!F48+(D48-E48)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Jul!F49+(D49-E49)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Jul!F50+(D50-E50)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Jul!F51+(D51-E51)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Jul!F52+(D52-E52)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Jul!F53+(D53-E53)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Jul!F54+(D54-E54)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Jul!F55+(D55-E55)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Jul!F56+(D56-E56)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Jul!F57+(D57-E57)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Jul!F58+(D58-E58)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Jul!F59+(D59-E59)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Jul!F60+(D60-E60)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Jul!F61+(D61-E61)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Jul!F62+(D62-E62)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Jul!F63+(D63-E63)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Jul!F64+(D64-E64)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Jul!F65+(D65-E65)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Jul!F66+(D66-E66)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Jul!F67+(D67-E67)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Jul!F68+(D68-E68)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Jul!F69+(D69-E69)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Jul!F70+(D70-E70)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Jul!F71+(D71-E71)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Jul!F72+(D72-E72)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Jul!F73+(D73-E73)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Jul!F74+(D74-E74)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Jul!F75+(D75-E75)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Jul!F76+(D76-E76)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Jul!F77+(D77-E77)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Jul!F78+(D78-E78)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Jul!F79+(D79-E79)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Jul!F80+(D80-E80)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Jul!F81+(D81-E81)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Jul!F82+(D82-E82)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Jul!F83+(D83-E83)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Jul!F84+(D84-E84)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Jul!F85+(D85-E85)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Jul!F86+(D86-E86)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Jul!F87+(D87-E87)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Jul!F88+(D88-E88)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Jul!F89+(D89-E89)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Jul!F90+(D90-E90)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Jul!F91+(D91-E91)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Jul!F92+(D92-E92)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Jul!F93+(D93-E93)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Jul!F94+(D94-E94)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Jul!F95+(D95-E95)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Jul!F96+(D96-E96)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Jul!F97+(D97-E97)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Jul!F98+(D98-E98)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Jul!F99+(D99-E99)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Jul!F100+(D100-E100)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Jul!F101+(D101-E101)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Jul!F102+(D102-E102)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Jul!F103+(D103-E103)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Jul!F104+(D104-E104)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Jul!F105+(D105-E105)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Jul!F106+(D106-E106)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Jul!F107+(D107-E107)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Jul!F108+(D108-E108)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Jul!F109+(D109-E109)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Jul!F110+(D110-E110)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Jul!F111+(D111-E111)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Jul!F112+(D112-E112)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Jul!F113+(D113-E113)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Jul!F114+(D114-E114)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Jul!F115+(D115-E115)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Jul!F116+(D116-E116)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Jul!F117+(D117-E117)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Jul!F118+(D118-E118)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Jul!F119+(D119-E119)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Jul!F120+(D120-E120)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Jul!F121+(D121-E121)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Jul!F122+(D122-E122)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Jul!F123+(D123-E123)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Jul!F124+(D124-E124)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Jul!F125+(D125-E125)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Jul!F126+(D126-E126)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Jul!F127+(D127-E127)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Jul!F128+(D128-E128)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Jul!F129+(D129-E129)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Jul!F130+(D130-E130)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Jul!F131+(D131-E131)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Jul!F132+(D132-E132)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Jul!F133+(D133-E133)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Jul!F134+(D134-E134)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Jul!F135+(D135-E135)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Jul!F136+(D136-E136)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Jul!F137+(D137-E137)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Jul!F138+(D138-E138)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Jul!F139+(D139-E139)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Jul!F140+(D140-E140)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Jul!F141+(D141-E141)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Jul!F142+(D142-E142)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Jul!F143+(D143-E143)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Jul!F144+(D144-E144)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Jul!F145+(D145-E145)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Jul!F146+(D146-E146)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Jul!F147+(D147-E147)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Jul!F148+(D148-E148)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Jul!F149+(D149-E149)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Jul!F150+(D150-E150)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9" priority="2">
      <formula>XFD3&lt;&gt;""</formula>
    </cfRule>
  </conditionalFormatting>
  <conditionalFormatting sqref="C4:C54">
    <cfRule type="expression" dxfId="8" priority="1">
      <formula>XFD4&lt;&gt;""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178B-0904-4A6D-99F3-08851CCB65C1}">
  <sheetPr codeName="Sheet13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22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Aug!F3+(D3-E3)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Aug!F4+(D4-E4)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Aug!F5+(D5-E5)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Aug!F6+(D6-E6)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Aug!F7+(D7-E7)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Aug!F8+(D8-E8)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Aug!F9+(D9-E9)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Aug!F10+(D10-E10)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Aug!F11+(D11-E11)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Aug!F12+(D12-E12)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Aug!F13+(D13-E13)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Aug!F14+(D14-E14)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Aug!F15+(D15-E15)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Aug!F16+(D16-E16)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Aug!F17+(D17-E17)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Aug!F18+(D18-E18)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Aug!F19+(D19-E19)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Aug!F20+(D20-E20)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Aug!F21+(D21-E21)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Aug!F22+(D22-E22)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Aug!F23+(D23-E23)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Aug!F24+(D24-E24)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Aug!F25+(D25-E25)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Aug!F26+(D26-E26)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Aug!F27+(D27-E27)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Aug!F28+(D28-E28)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Aug!F29+(D29-E29)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Aug!F30+(D30-E30)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Aug!F31+(D31-E31)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Aug!F32+(D32-E32)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Aug!F33+(D33-E33)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Aug!F34+(D34-E34)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Aug!F35+(D35-E35)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Aug!F36+(D36-E36)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Aug!F37+(D37-E37)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Aug!F38+(D38-E38)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Aug!F39+(D39-E39)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Aug!F40+(D40-E40)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Aug!F41+(D41-E41)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Aug!F42+(D42-E42)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Aug!F43+(D43-E43)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Aug!F44+(D44-E44)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Aug!F45+(D45-E45)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Aug!F46+(D46-E46)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Aug!F47+(D47-E47)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Aug!F48+(D48-E48)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Aug!F49+(D49-E49)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Aug!F50+(D50-E50)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Aug!F51+(D51-E51)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Aug!F52+(D52-E52)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Aug!F53+(D53-E53)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Aug!F54+(D54-E54)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Aug!F55+(D55-E55)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Aug!F56+(D56-E56)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Aug!F57+(D57-E57)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Aug!F58+(D58-E58)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Aug!F59+(D59-E59)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Aug!F60+(D60-E60)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Aug!F61+(D61-E61)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Aug!F62+(D62-E62)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Aug!F63+(D63-E63)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Aug!F64+(D64-E64)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Aug!F65+(D65-E65)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Aug!F66+(D66-E66)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Aug!F67+(D67-E67)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Aug!F68+(D68-E68)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Aug!F69+(D69-E69)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Aug!F70+(D70-E70)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Aug!F71+(D71-E71)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Aug!F72+(D72-E72)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Aug!F73+(D73-E73)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Aug!F74+(D74-E74)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Aug!F75+(D75-E75)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Aug!F76+(D76-E76)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Aug!F77+(D77-E77)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Aug!F78+(D78-E78)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Aug!F79+(D79-E79)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Aug!F80+(D80-E80)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Aug!F81+(D81-E81)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Aug!F82+(D82-E82)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Aug!F83+(D83-E83)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Aug!F84+(D84-E84)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Aug!F85+(D85-E85)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Aug!F86+(D86-E86)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Aug!F87+(D87-E87)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Aug!F88+(D88-E88)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Aug!F89+(D89-E89)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Aug!F90+(D90-E90)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Aug!F91+(D91-E91)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Aug!F92+(D92-E92)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Aug!F93+(D93-E93)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Aug!F94+(D94-E94)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Aug!F95+(D95-E95)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Aug!F96+(D96-E96)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Aug!F97+(D97-E97)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Aug!F98+(D98-E98)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Aug!F99+(D99-E99)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Aug!F100+(D100-E100)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Aug!F101+(D101-E101)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Aug!F102+(D102-E102)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Aug!F103+(D103-E103)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Aug!F104+(D104-E104)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Aug!F105+(D105-E105)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Aug!F106+(D106-E106)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Aug!F107+(D107-E107)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Aug!F108+(D108-E108)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Aug!F109+(D109-E109)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Aug!F110+(D110-E110)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Aug!F111+(D111-E111)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Aug!F112+(D112-E112)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Aug!F113+(D113-E113)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Aug!F114+(D114-E114)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Aug!F115+(D115-E115)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Aug!F116+(D116-E116)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Aug!F117+(D117-E117)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Aug!F118+(D118-E118)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Aug!F119+(D119-E119)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Aug!F120+(D120-E120)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Aug!F121+(D121-E121)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Aug!F122+(D122-E122)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Aug!F123+(D123-E123)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Aug!F124+(D124-E124)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Aug!F125+(D125-E125)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Aug!F126+(D126-E126)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Aug!F127+(D127-E127)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Aug!F128+(D128-E128)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Aug!F129+(D129-E129)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Aug!F130+(D130-E130)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Aug!F131+(D131-E131)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Aug!F132+(D132-E132)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Aug!F133+(D133-E133)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Aug!F134+(D134-E134)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Aug!F135+(D135-E135)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Aug!F136+(D136-E136)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Aug!F137+(D137-E137)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Aug!F138+(D138-E138)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Aug!F139+(D139-E139)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Aug!F140+(D140-E140)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Aug!F141+(D141-E141)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Aug!F142+(D142-E142)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Aug!F143+(D143-E143)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Aug!F144+(D144-E144)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Aug!F145+(D145-E145)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Aug!F146+(D146-E146)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Aug!F147+(D147-E147)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Aug!F148+(D148-E148)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Aug!F149+(D149-E149)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Aug!F150+(D150-E150)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7" priority="2">
      <formula>XFD3&lt;&gt;""</formula>
    </cfRule>
  </conditionalFormatting>
  <conditionalFormatting sqref="C4:C54">
    <cfRule type="expression" dxfId="6" priority="1">
      <formula>XFD4&lt;&gt;""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4860-6AB4-475D-B3EA-5A5A8AFE25FA}">
  <sheetPr codeName="Sheet14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23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Sep!F3+(D3-E3)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Sep!F4+(D4-E4)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Sep!F5+(D5-E5)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Sep!F6+(D6-E6)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Sep!F7+(D7-E7)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Sep!F8+(D8-E8)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Sep!F9+(D9-E9)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Sep!F10+(D10-E10)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Sep!F11+(D11-E11)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Sep!F12+(D12-E12)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Sep!F13+(D13-E13)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Sep!F14+(D14-E14)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Sep!F15+(D15-E15)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Sep!F16+(D16-E16)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Sep!F17+(D17-E17)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Sep!F18+(D18-E18)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Sep!F19+(D19-E19)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Sep!F20+(D20-E20)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Sep!F21+(D21-E21)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Sep!F22+(D22-E22)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Sep!F23+(D23-E23)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Sep!F24+(D24-E24)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Sep!F25+(D25-E25)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Sep!F26+(D26-E26)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Sep!F27+(D27-E27)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Sep!F28+(D28-E28)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Sep!F29+(D29-E29)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Sep!F30+(D30-E30)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Sep!F31+(D31-E31)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Sep!F32+(D32-E32)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Sep!F33+(D33-E33)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Sep!F34+(D34-E34)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Sep!F35+(D35-E35)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Sep!F36+(D36-E36)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Sep!F37+(D37-E37)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Sep!F38+(D38-E38)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Sep!F39+(D39-E39)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Sep!F40+(D40-E40)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Sep!F41+(D41-E41)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Sep!F42+(D42-E42)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Sep!F43+(D43-E43)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Sep!F44+(D44-E44)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Sep!F45+(D45-E45)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Sep!F46+(D46-E46)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Sep!F47+(D47-E47)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Sep!F48+(D48-E48)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Sep!F49+(D49-E49)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Sep!F50+(D50-E50)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Sep!F51+(D51-E51)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Sep!F52+(D52-E52)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Sep!F53+(D53-E53)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Sep!F54+(D54-E54)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Sep!F55+(D55-E55)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Sep!F56+(D56-E56)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Sep!F57+(D57-E57)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Sep!F58+(D58-E58)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Sep!F59+(D59-E59)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Sep!F60+(D60-E60)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Sep!F61+(D61-E61)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Sep!F62+(D62-E62)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Sep!F63+(D63-E63)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Sep!F64+(D64-E64)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Sep!F65+(D65-E65)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Sep!F66+(D66-E66)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Sep!F67+(D67-E67)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Sep!F68+(D68-E68)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Sep!F69+(D69-E69)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Sep!F70+(D70-E70)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Sep!F71+(D71-E71)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Sep!F72+(D72-E72)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Sep!F73+(D73-E73)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Sep!F74+(D74-E74)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Sep!F75+(D75-E75)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Sep!F76+(D76-E76)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Sep!F77+(D77-E77)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Sep!F78+(D78-E78)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Sep!F79+(D79-E79)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Sep!F80+(D80-E80)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Sep!F81+(D81-E81)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Sep!F82+(D82-E82)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Sep!F83+(D83-E83)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Sep!F84+(D84-E84)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Sep!F85+(D85-E85)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Sep!F86+(D86-E86)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Sep!F87+(D87-E87)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Sep!F88+(D88-E88)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Sep!F89+(D89-E89)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Sep!F90+(D90-E90)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Sep!F91+(D91-E91)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Sep!F92+(D92-E92)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Sep!F93+(D93-E93)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Sep!F94+(D94-E94)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Sep!F95+(D95-E95)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Sep!F96+(D96-E96)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Sep!F97+(D97-E97)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Sep!F98+(D98-E98)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Sep!F99+(D99-E99)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Sep!F100+(D100-E100)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Sep!F101+(D101-E101)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Sep!F102+(D102-E102)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Sep!F103+(D103-E103)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Sep!F104+(D104-E104)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Sep!F105+(D105-E105)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Sep!F106+(D106-E106)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Sep!F107+(D107-E107)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Sep!F108+(D108-E108)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Sep!F109+(D109-E109)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Sep!F110+(D110-E110)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Sep!F111+(D111-E111)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Sep!F112+(D112-E112)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Sep!F113+(D113-E113)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Sep!F114+(D114-E114)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Sep!F115+(D115-E115)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Sep!F116+(D116-E116)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Sep!F117+(D117-E117)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Sep!F118+(D118-E118)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Sep!F119+(D119-E119)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Sep!F120+(D120-E120)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Sep!F121+(D121-E121)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Sep!F122+(D122-E122)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Sep!F123+(D123-E123)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Sep!F124+(D124-E124)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Sep!F125+(D125-E125)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Sep!F126+(D126-E126)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Sep!F127+(D127-E127)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Sep!F128+(D128-E128)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Sep!F129+(D129-E129)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Sep!F130+(D130-E130)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Sep!F131+(D131-E131)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Sep!F132+(D132-E132)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Sep!F133+(D133-E133)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Sep!F134+(D134-E134)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Sep!F135+(D135-E135)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Sep!F136+(D136-E136)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Sep!F137+(D137-E137)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Sep!F138+(D138-E138)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Sep!F139+(D139-E139)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Sep!F140+(D140-E140)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Sep!F141+(D141-E141)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Sep!F142+(D142-E142)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Sep!F143+(D143-E143)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Sep!F144+(D144-E144)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Sep!F145+(D145-E145)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Sep!F146+(D146-E146)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Sep!F147+(D147-E147)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Sep!F148+(D148-E148)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Sep!F149+(D149-E149)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Sep!F150+(D150-E150)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5" priority="2">
      <formula>XFD3&lt;&gt;""</formula>
    </cfRule>
  </conditionalFormatting>
  <conditionalFormatting sqref="C4:C54">
    <cfRule type="expression" dxfId="4" priority="1">
      <formula>XFD4&lt;&gt;""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58B56-7D54-433E-AA7F-0CDF10A964E6}">
  <sheetPr codeName="Sheet15"/>
  <dimension ref="A1:M150"/>
  <sheetViews>
    <sheetView workbookViewId="0">
      <selection activeCell="C3" sqref="C3:C150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24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Oct!F3+(D3-E3)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Oct!F4+(D4-E4)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Oct!F5+(D5-E5)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Oct!F6+(D6-E6)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Oct!F7+(D7-E7)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Oct!F8+(D8-E8)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Oct!F9+(D9-E9)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Oct!F10+(D10-E10)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Oct!F11+(D11-E11)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Oct!F12+(D12-E12)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Oct!F13+(D13-E13)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Oct!F14+(D14-E14)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Oct!F15+(D15-E15)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Oct!F16+(D16-E16)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Oct!F17+(D17-E17)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Oct!F18+(D18-E18)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Oct!F19+(D19-E19)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Oct!F20+(D20-E20)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Oct!F21+(D21-E21)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Oct!F22+(D22-E22)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Oct!F23+(D23-E23)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Oct!F24+(D24-E24)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Oct!F25+(D25-E25)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Oct!F26+(D26-E26)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Oct!F27+(D27-E27)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Oct!F28+(D28-E28)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Oct!F29+(D29-E29)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Oct!F30+(D30-E30)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Oct!F31+(D31-E31)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Oct!F32+(D32-E32)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Oct!F33+(D33-E33)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Oct!F34+(D34-E34)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Oct!F35+(D35-E35)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Oct!F36+(D36-E36)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Oct!F37+(D37-E37)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Oct!F38+(D38-E38)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Oct!F39+(D39-E39)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Oct!F40+(D40-E40)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Oct!F41+(D41-E41)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Oct!F42+(D42-E42)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Oct!F43+(D43-E43)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Oct!F44+(D44-E44)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Oct!F45+(D45-E45)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Oct!F46+(D46-E46)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Oct!F47+(D47-E47)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Oct!F48+(D48-E48)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Oct!F49+(D49-E49)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Oct!F50+(D50-E50)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Oct!F51+(D51-E51)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Oct!F52+(D52-E52)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Oct!F53+(D53-E53)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Oct!F54+(D54-E54)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Oct!F55+(D55-E55)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Oct!F56+(D56-E56)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Oct!F57+(D57-E57)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Oct!F58+(D58-E58)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Oct!F59+(D59-E59)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Oct!F60+(D60-E60)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Oct!F61+(D61-E61)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Oct!F62+(D62-E62)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Oct!F63+(D63-E63)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Oct!F64+(D64-E64)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Oct!F65+(D65-E65)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Oct!F66+(D66-E66)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Oct!F67+(D67-E67)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Oct!F68+(D68-E68)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Oct!F69+(D69-E69)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Oct!F70+(D70-E70)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Oct!F71+(D71-E71)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Oct!F72+(D72-E72)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Oct!F73+(D73-E73)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Oct!F74+(D74-E74)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Oct!F75+(D75-E75)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Oct!F76+(D76-E76)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Oct!F77+(D77-E77)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Oct!F78+(D78-E78)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Oct!F79+(D79-E79)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Oct!F80+(D80-E80)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Oct!F81+(D81-E81)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Oct!F82+(D82-E82)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Oct!F83+(D83-E83)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Oct!F84+(D84-E84)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Oct!F85+(D85-E85)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Oct!F86+(D86-E86)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Oct!F87+(D87-E87)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Oct!F88+(D88-E88)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Oct!F89+(D89-E89)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Oct!F90+(D90-E90)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Oct!F91+(D91-E91)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Oct!F92+(D92-E92)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Oct!F93+(D93-E93)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Oct!F94+(D94-E94)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Oct!F95+(D95-E95)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Oct!F96+(D96-E96)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Oct!F97+(D97-E97)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Oct!F98+(D98-E98)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Oct!F99+(D99-E99)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Oct!F100+(D100-E100)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Oct!F101+(D101-E101)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Oct!F102+(D102-E102)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Oct!F103+(D103-E103)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Oct!F104+(D104-E104)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Oct!F105+(D105-E105)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Oct!F106+(D106-E106)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Oct!F107+(D107-E107)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Oct!F108+(D108-E108)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Oct!F109+(D109-E109)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Oct!F110+(D110-E110)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Oct!F111+(D111-E111)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Oct!F112+(D112-E112)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Oct!F113+(D113-E113)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Oct!F114+(D114-E114)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Oct!F115+(D115-E115)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Oct!F116+(D116-E116)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Oct!F117+(D117-E117)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Oct!F118+(D118-E118)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Oct!F119+(D119-E119)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Oct!F120+(D120-E120)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Oct!F121+(D121-E121)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Oct!F122+(D122-E122)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Oct!F123+(D123-E123)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Oct!F124+(D124-E124)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Oct!F125+(D125-E125)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Oct!F126+(D126-E126)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Oct!F127+(D127-E127)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Oct!F128+(D128-E128)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Oct!F129+(D129-E129)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Oct!F130+(D130-E130)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Oct!F131+(D131-E131)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Oct!F132+(D132-E132)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Oct!F133+(D133-E133)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Oct!F134+(D134-E134)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Oct!F135+(D135-E135)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Oct!F136+(D136-E136)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Oct!F137+(D137-E137)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Oct!F138+(D138-E138)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Oct!F139+(D139-E139)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Oct!F140+(D140-E140)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Oct!F141+(D141-E141)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Oct!F142+(D142-E142)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Oct!F143+(D143-E143)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Oct!F144+(D144-E144)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Oct!F145+(D145-E145)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Oct!F146+(D146-E146)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Oct!F147+(D147-E147)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Oct!F148+(D148-E148)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Oct!F149+(D149-E149)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Oct!F150+(D150-E150)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3" priority="2">
      <formula>XFD3&lt;&gt;""</formula>
    </cfRule>
  </conditionalFormatting>
  <conditionalFormatting sqref="C4:C54">
    <cfRule type="expression" dxfId="2" priority="1">
      <formula>XFD4&lt;&gt;""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292B-FEA1-46A3-BBFE-369D58159537}">
  <sheetPr codeName="Sheet16"/>
  <dimension ref="A1:M150"/>
  <sheetViews>
    <sheetView workbookViewId="0">
      <selection activeCell="C3" sqref="C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63" t="s">
        <v>25</v>
      </c>
      <c r="B1" s="64"/>
      <c r="C1" s="67" t="s">
        <v>1</v>
      </c>
      <c r="D1" s="68"/>
      <c r="E1" s="68"/>
      <c r="F1" s="68"/>
      <c r="G1" s="1"/>
      <c r="H1" s="68" t="s">
        <v>2</v>
      </c>
      <c r="I1" s="69"/>
    </row>
    <row r="2" spans="1:13" ht="15" thickBot="1" x14ac:dyDescent="0.35">
      <c r="A2" s="65"/>
      <c r="B2" s="66"/>
      <c r="C2" s="2" t="s">
        <v>3</v>
      </c>
      <c r="D2" s="3" t="s">
        <v>4</v>
      </c>
      <c r="E2" s="3" t="s">
        <v>5</v>
      </c>
      <c r="F2" s="3" t="s">
        <v>6</v>
      </c>
      <c r="G2" s="4"/>
      <c r="H2" s="3" t="s">
        <v>7</v>
      </c>
      <c r="I2" s="5" t="s">
        <v>8</v>
      </c>
    </row>
    <row r="3" spans="1:13" ht="15" thickTop="1" x14ac:dyDescent="0.3">
      <c r="A3" s="56" t="s">
        <v>9</v>
      </c>
      <c r="B3" s="74"/>
      <c r="C3" s="53" t="s">
        <v>51</v>
      </c>
      <c r="D3" s="27"/>
      <c r="E3" s="27"/>
      <c r="F3" s="22">
        <f>Nov!F3+(D3-E3)</f>
        <v>0</v>
      </c>
      <c r="G3" s="6"/>
      <c r="H3" s="7"/>
      <c r="I3" s="24"/>
      <c r="M3" s="20"/>
    </row>
    <row r="4" spans="1:13" ht="15" thickBot="1" x14ac:dyDescent="0.35">
      <c r="A4" s="75">
        <f>SUM(I3:I150)</f>
        <v>0</v>
      </c>
      <c r="B4" s="76"/>
      <c r="C4" s="54"/>
      <c r="D4" s="28"/>
      <c r="E4" s="28"/>
      <c r="F4" s="23">
        <f>Nov!F4+(D4-E4)</f>
        <v>0</v>
      </c>
      <c r="G4" s="8"/>
      <c r="H4" s="9"/>
      <c r="I4" s="25"/>
    </row>
    <row r="5" spans="1:13" ht="15" thickTop="1" x14ac:dyDescent="0.3">
      <c r="A5" s="56" t="s">
        <v>10</v>
      </c>
      <c r="B5" s="74"/>
      <c r="C5" s="54"/>
      <c r="D5" s="28"/>
      <c r="E5" s="28"/>
      <c r="F5" s="23">
        <f>Nov!F5+(D5-E5)</f>
        <v>0</v>
      </c>
      <c r="G5" s="8"/>
      <c r="H5" s="9"/>
      <c r="I5" s="25"/>
    </row>
    <row r="6" spans="1:13" ht="15" thickBot="1" x14ac:dyDescent="0.35">
      <c r="A6" s="72">
        <f>SUM(D3:D150)</f>
        <v>0</v>
      </c>
      <c r="B6" s="73"/>
      <c r="C6" s="54"/>
      <c r="D6" s="28"/>
      <c r="E6" s="28"/>
      <c r="F6" s="23">
        <f>Nov!F6+(D6-E6)</f>
        <v>0</v>
      </c>
      <c r="G6" s="8"/>
      <c r="H6" s="9"/>
      <c r="I6" s="25"/>
    </row>
    <row r="7" spans="1:13" ht="15.6" thickTop="1" thickBot="1" x14ac:dyDescent="0.35">
      <c r="A7" s="70" t="s">
        <v>11</v>
      </c>
      <c r="B7" s="71"/>
      <c r="C7" s="54"/>
      <c r="D7" s="28"/>
      <c r="E7" s="28"/>
      <c r="F7" s="23">
        <f>Nov!F7+(D7-E7)</f>
        <v>0</v>
      </c>
      <c r="G7" s="8"/>
      <c r="H7" s="9"/>
      <c r="I7" s="25"/>
    </row>
    <row r="8" spans="1:13" x14ac:dyDescent="0.3">
      <c r="A8" s="10" t="s">
        <v>12</v>
      </c>
      <c r="B8" s="11" t="s">
        <v>13</v>
      </c>
      <c r="C8" s="54"/>
      <c r="D8" s="28"/>
      <c r="E8" s="28"/>
      <c r="F8" s="23">
        <f>Nov!F8+(D8-E8)</f>
        <v>0</v>
      </c>
      <c r="G8" s="8"/>
      <c r="H8" s="9"/>
      <c r="I8" s="25"/>
    </row>
    <row r="9" spans="1:13" x14ac:dyDescent="0.3">
      <c r="A9" s="18">
        <f>A4-A6</f>
        <v>0</v>
      </c>
      <c r="B9" s="19" t="e">
        <f>1-(A6/A4)</f>
        <v>#DIV/0!</v>
      </c>
      <c r="C9" s="54"/>
      <c r="D9" s="28"/>
      <c r="E9" s="28"/>
      <c r="F9" s="23">
        <f>Nov!F9+(D9-E9)</f>
        <v>0</v>
      </c>
      <c r="G9" s="8"/>
      <c r="H9" s="9"/>
      <c r="I9" s="25"/>
    </row>
    <row r="10" spans="1:13" x14ac:dyDescent="0.3">
      <c r="A10" s="12"/>
      <c r="B10" s="13"/>
      <c r="C10" s="54"/>
      <c r="D10" s="28"/>
      <c r="E10" s="28"/>
      <c r="F10" s="23">
        <f>Nov!F10+(D10-E10)</f>
        <v>0</v>
      </c>
      <c r="G10" s="8"/>
      <c r="H10" s="9"/>
      <c r="I10" s="25"/>
    </row>
    <row r="11" spans="1:13" ht="15" thickBot="1" x14ac:dyDescent="0.35">
      <c r="A11" s="67" t="s">
        <v>14</v>
      </c>
      <c r="B11" s="69"/>
      <c r="C11" s="54"/>
      <c r="D11" s="28"/>
      <c r="E11" s="28"/>
      <c r="F11" s="23">
        <f>Nov!F11+(D11-E11)</f>
        <v>0</v>
      </c>
      <c r="G11" s="8"/>
      <c r="H11" s="9"/>
      <c r="I11" s="25"/>
    </row>
    <row r="12" spans="1:13" x14ac:dyDescent="0.3">
      <c r="A12" s="10" t="s">
        <v>12</v>
      </c>
      <c r="B12" s="11" t="s">
        <v>13</v>
      </c>
      <c r="C12" s="54"/>
      <c r="D12" s="28"/>
      <c r="E12" s="28"/>
      <c r="F12" s="23">
        <f>Nov!F12+(D12-E12)</f>
        <v>0</v>
      </c>
      <c r="G12" s="8"/>
      <c r="H12" s="9"/>
      <c r="I12" s="25"/>
    </row>
    <row r="13" spans="1:13" x14ac:dyDescent="0.3">
      <c r="A13" s="21">
        <f>SUM(E3:E150)</f>
        <v>0</v>
      </c>
      <c r="B13" s="19" t="e">
        <f>A13/A4</f>
        <v>#DIV/0!</v>
      </c>
      <c r="C13" s="54"/>
      <c r="D13" s="28"/>
      <c r="E13" s="28"/>
      <c r="F13" s="23">
        <f>Nov!F13+(D13-E13)</f>
        <v>0</v>
      </c>
      <c r="G13" s="8"/>
      <c r="H13" s="9"/>
      <c r="I13" s="25"/>
    </row>
    <row r="14" spans="1:13" x14ac:dyDescent="0.3">
      <c r="A14" s="14"/>
      <c r="B14" s="15"/>
      <c r="C14" s="54"/>
      <c r="D14" s="28"/>
      <c r="E14" s="28"/>
      <c r="F14" s="23">
        <f>Nov!F14+(D14-E14)</f>
        <v>0</v>
      </c>
      <c r="G14" s="8"/>
      <c r="H14" s="9"/>
      <c r="I14" s="25"/>
    </row>
    <row r="15" spans="1:13" x14ac:dyDescent="0.3">
      <c r="A15" s="61" t="str">
        <f>CONCATENATE("You are ",IF(A13&lt;=A6,"within","over")," your budgeted amount this month.")</f>
        <v>You are within your budgeted amount this month.</v>
      </c>
      <c r="B15" s="62"/>
      <c r="C15" s="54"/>
      <c r="D15" s="28"/>
      <c r="E15" s="28"/>
      <c r="F15" s="23">
        <f>Nov!F15+(D15-E15)</f>
        <v>0</v>
      </c>
      <c r="G15" s="8"/>
      <c r="H15" s="9"/>
      <c r="I15" s="25"/>
    </row>
    <row r="16" spans="1:13" x14ac:dyDescent="0.3">
      <c r="A16" s="61"/>
      <c r="B16" s="62"/>
      <c r="C16" s="54"/>
      <c r="D16" s="28"/>
      <c r="E16" s="28"/>
      <c r="F16" s="23">
        <f>Nov!F16+(D16-E16)</f>
        <v>0</v>
      </c>
      <c r="G16" s="8"/>
      <c r="H16" s="9"/>
      <c r="I16" s="25"/>
    </row>
    <row r="17" spans="1:9" x14ac:dyDescent="0.3">
      <c r="A17" s="61"/>
      <c r="B17" s="62"/>
      <c r="C17" s="54"/>
      <c r="D17" s="28"/>
      <c r="E17" s="28"/>
      <c r="F17" s="23">
        <f>Nov!F17+(D17-E17)</f>
        <v>0</v>
      </c>
      <c r="G17" s="8"/>
      <c r="H17" s="9"/>
      <c r="I17" s="25"/>
    </row>
    <row r="18" spans="1:9" x14ac:dyDescent="0.3">
      <c r="A18" s="14"/>
      <c r="B18" s="15"/>
      <c r="C18" s="54"/>
      <c r="D18" s="28"/>
      <c r="E18" s="28"/>
      <c r="F18" s="23">
        <f>Nov!F18+(D18-E18)</f>
        <v>0</v>
      </c>
      <c r="G18" s="8"/>
      <c r="H18" s="9"/>
      <c r="I18" s="25"/>
    </row>
    <row r="19" spans="1:9" x14ac:dyDescent="0.3">
      <c r="A19" s="14"/>
      <c r="B19" s="15"/>
      <c r="C19" s="54"/>
      <c r="D19" s="28"/>
      <c r="E19" s="28"/>
      <c r="F19" s="23">
        <f>Nov!F19+(D19-E19)</f>
        <v>0</v>
      </c>
      <c r="G19" s="8"/>
      <c r="H19" s="9"/>
      <c r="I19" s="25"/>
    </row>
    <row r="20" spans="1:9" x14ac:dyDescent="0.3">
      <c r="A20" s="14"/>
      <c r="B20" s="15"/>
      <c r="C20" s="54"/>
      <c r="D20" s="28"/>
      <c r="E20" s="28"/>
      <c r="F20" s="23">
        <f>Nov!F20+(D20-E20)</f>
        <v>0</v>
      </c>
      <c r="G20" s="8"/>
      <c r="H20" s="9"/>
      <c r="I20" s="25"/>
    </row>
    <row r="21" spans="1:9" x14ac:dyDescent="0.3">
      <c r="A21" s="14"/>
      <c r="B21" s="15"/>
      <c r="C21" s="54"/>
      <c r="D21" s="28"/>
      <c r="E21" s="28"/>
      <c r="F21" s="23">
        <f>Nov!F21+(D21-E21)</f>
        <v>0</v>
      </c>
      <c r="G21" s="8"/>
      <c r="H21" s="9"/>
      <c r="I21" s="25"/>
    </row>
    <row r="22" spans="1:9" x14ac:dyDescent="0.3">
      <c r="A22" s="14"/>
      <c r="B22" s="15"/>
      <c r="C22" s="54"/>
      <c r="D22" s="28"/>
      <c r="E22" s="28"/>
      <c r="F22" s="23">
        <f>Nov!F22+(D22-E22)</f>
        <v>0</v>
      </c>
      <c r="G22" s="8"/>
      <c r="H22" s="9"/>
      <c r="I22" s="25"/>
    </row>
    <row r="23" spans="1:9" x14ac:dyDescent="0.3">
      <c r="A23" s="14"/>
      <c r="B23" s="15"/>
      <c r="C23" s="54"/>
      <c r="D23" s="28"/>
      <c r="E23" s="28"/>
      <c r="F23" s="23">
        <f>Nov!F23+(D23-E23)</f>
        <v>0</v>
      </c>
      <c r="G23" s="8"/>
      <c r="H23" s="9"/>
      <c r="I23" s="25"/>
    </row>
    <row r="24" spans="1:9" x14ac:dyDescent="0.3">
      <c r="A24" s="14"/>
      <c r="B24" s="15"/>
      <c r="C24" s="54"/>
      <c r="D24" s="28"/>
      <c r="E24" s="28"/>
      <c r="F24" s="23">
        <f>Nov!F24+(D24-E24)</f>
        <v>0</v>
      </c>
      <c r="G24" s="8"/>
      <c r="H24" s="9"/>
      <c r="I24" s="25"/>
    </row>
    <row r="25" spans="1:9" x14ac:dyDescent="0.3">
      <c r="A25" s="14"/>
      <c r="B25" s="15"/>
      <c r="C25" s="54"/>
      <c r="D25" s="28"/>
      <c r="E25" s="28"/>
      <c r="F25" s="23">
        <f>Nov!F25+(D25-E25)</f>
        <v>0</v>
      </c>
      <c r="G25" s="8"/>
      <c r="H25" s="9"/>
      <c r="I25" s="25"/>
    </row>
    <row r="26" spans="1:9" x14ac:dyDescent="0.3">
      <c r="A26" s="14"/>
      <c r="B26" s="15"/>
      <c r="C26" s="54"/>
      <c r="D26" s="28"/>
      <c r="E26" s="28"/>
      <c r="F26" s="23">
        <f>Nov!F26+(D26-E26)</f>
        <v>0</v>
      </c>
      <c r="G26" s="8"/>
      <c r="H26" s="9"/>
      <c r="I26" s="25"/>
    </row>
    <row r="27" spans="1:9" x14ac:dyDescent="0.3">
      <c r="A27" s="14"/>
      <c r="B27" s="15"/>
      <c r="C27" s="54"/>
      <c r="D27" s="28"/>
      <c r="E27" s="28"/>
      <c r="F27" s="23">
        <f>Nov!F27+(D27-E27)</f>
        <v>0</v>
      </c>
      <c r="G27" s="8"/>
      <c r="H27" s="9"/>
      <c r="I27" s="25"/>
    </row>
    <row r="28" spans="1:9" x14ac:dyDescent="0.3">
      <c r="A28" s="14"/>
      <c r="B28" s="15"/>
      <c r="C28" s="54"/>
      <c r="D28" s="28"/>
      <c r="E28" s="28"/>
      <c r="F28" s="23">
        <f>Nov!F28+(D28-E28)</f>
        <v>0</v>
      </c>
      <c r="G28" s="8"/>
      <c r="H28" s="9"/>
      <c r="I28" s="25"/>
    </row>
    <row r="29" spans="1:9" x14ac:dyDescent="0.3">
      <c r="A29" s="14"/>
      <c r="B29" s="15"/>
      <c r="C29" s="54"/>
      <c r="D29" s="28"/>
      <c r="E29" s="28"/>
      <c r="F29" s="23">
        <f>Nov!F29+(D29-E29)</f>
        <v>0</v>
      </c>
      <c r="G29" s="8"/>
      <c r="H29" s="9"/>
      <c r="I29" s="25"/>
    </row>
    <row r="30" spans="1:9" x14ac:dyDescent="0.3">
      <c r="A30" s="14"/>
      <c r="B30" s="15"/>
      <c r="C30" s="54"/>
      <c r="D30" s="28"/>
      <c r="E30" s="28"/>
      <c r="F30" s="23">
        <f>Nov!F30+(D30-E30)</f>
        <v>0</v>
      </c>
      <c r="G30" s="8"/>
      <c r="H30" s="9"/>
      <c r="I30" s="25"/>
    </row>
    <row r="31" spans="1:9" x14ac:dyDescent="0.3">
      <c r="A31" s="14"/>
      <c r="B31" s="15"/>
      <c r="C31" s="54"/>
      <c r="D31" s="28"/>
      <c r="E31" s="28"/>
      <c r="F31" s="23">
        <f>Nov!F31+(D31-E31)</f>
        <v>0</v>
      </c>
      <c r="G31" s="8"/>
      <c r="H31" s="9"/>
      <c r="I31" s="25"/>
    </row>
    <row r="32" spans="1:9" x14ac:dyDescent="0.3">
      <c r="A32" s="14"/>
      <c r="B32" s="15"/>
      <c r="C32" s="54"/>
      <c r="D32" s="28"/>
      <c r="E32" s="28"/>
      <c r="F32" s="23">
        <f>Nov!F32+(D32-E32)</f>
        <v>0</v>
      </c>
      <c r="G32" s="8"/>
      <c r="H32" s="9"/>
      <c r="I32" s="25"/>
    </row>
    <row r="33" spans="1:9" x14ac:dyDescent="0.3">
      <c r="A33" s="14"/>
      <c r="B33" s="15"/>
      <c r="C33" s="54"/>
      <c r="D33" s="28"/>
      <c r="E33" s="28"/>
      <c r="F33" s="23">
        <f>Nov!F33+(D33-E33)</f>
        <v>0</v>
      </c>
      <c r="G33" s="8"/>
      <c r="H33" s="9"/>
      <c r="I33" s="25"/>
    </row>
    <row r="34" spans="1:9" x14ac:dyDescent="0.3">
      <c r="A34" s="14"/>
      <c r="B34" s="15"/>
      <c r="C34" s="54"/>
      <c r="D34" s="28"/>
      <c r="E34" s="28"/>
      <c r="F34" s="23">
        <f>Nov!F34+(D34-E34)</f>
        <v>0</v>
      </c>
      <c r="G34" s="8"/>
      <c r="H34" s="9"/>
      <c r="I34" s="25"/>
    </row>
    <row r="35" spans="1:9" x14ac:dyDescent="0.3">
      <c r="A35" s="14"/>
      <c r="B35" s="15"/>
      <c r="C35" s="54"/>
      <c r="D35" s="28"/>
      <c r="E35" s="28"/>
      <c r="F35" s="23">
        <f>Nov!F35+(D35-E35)</f>
        <v>0</v>
      </c>
      <c r="G35" s="8"/>
      <c r="H35" s="9"/>
      <c r="I35" s="25"/>
    </row>
    <row r="36" spans="1:9" x14ac:dyDescent="0.3">
      <c r="A36" s="14"/>
      <c r="B36" s="15"/>
      <c r="C36" s="54"/>
      <c r="D36" s="28"/>
      <c r="E36" s="28"/>
      <c r="F36" s="23">
        <f>Nov!F36+(D36-E36)</f>
        <v>0</v>
      </c>
      <c r="G36" s="8"/>
      <c r="H36" s="9"/>
      <c r="I36" s="25"/>
    </row>
    <row r="37" spans="1:9" x14ac:dyDescent="0.3">
      <c r="A37" s="14"/>
      <c r="B37" s="15"/>
      <c r="C37" s="54"/>
      <c r="D37" s="28"/>
      <c r="E37" s="28"/>
      <c r="F37" s="23">
        <f>Nov!F37+(D37-E37)</f>
        <v>0</v>
      </c>
      <c r="G37" s="8"/>
      <c r="H37" s="9"/>
      <c r="I37" s="25"/>
    </row>
    <row r="38" spans="1:9" x14ac:dyDescent="0.3">
      <c r="A38" s="14"/>
      <c r="B38" s="15"/>
      <c r="C38" s="54"/>
      <c r="D38" s="28"/>
      <c r="E38" s="28"/>
      <c r="F38" s="23">
        <f>Nov!F38+(D38-E38)</f>
        <v>0</v>
      </c>
      <c r="G38" s="8"/>
      <c r="H38" s="9"/>
      <c r="I38" s="25"/>
    </row>
    <row r="39" spans="1:9" x14ac:dyDescent="0.3">
      <c r="A39" s="14"/>
      <c r="B39" s="15"/>
      <c r="C39" s="54"/>
      <c r="D39" s="28"/>
      <c r="E39" s="28"/>
      <c r="F39" s="23">
        <f>Nov!F39+(D39-E39)</f>
        <v>0</v>
      </c>
      <c r="G39" s="8"/>
      <c r="H39" s="9"/>
      <c r="I39" s="25"/>
    </row>
    <row r="40" spans="1:9" x14ac:dyDescent="0.3">
      <c r="A40" s="14"/>
      <c r="B40" s="15"/>
      <c r="C40" s="54"/>
      <c r="D40" s="28"/>
      <c r="E40" s="28"/>
      <c r="F40" s="23">
        <f>Nov!F40+(D40-E40)</f>
        <v>0</v>
      </c>
      <c r="G40" s="8"/>
      <c r="H40" s="9"/>
      <c r="I40" s="25"/>
    </row>
    <row r="41" spans="1:9" x14ac:dyDescent="0.3">
      <c r="A41" s="14"/>
      <c r="B41" s="15"/>
      <c r="C41" s="54"/>
      <c r="D41" s="28"/>
      <c r="E41" s="28"/>
      <c r="F41" s="23">
        <f>Nov!F41+(D41-E41)</f>
        <v>0</v>
      </c>
      <c r="G41" s="8"/>
      <c r="H41" s="9"/>
      <c r="I41" s="25"/>
    </row>
    <row r="42" spans="1:9" x14ac:dyDescent="0.3">
      <c r="A42" s="14"/>
      <c r="B42" s="15"/>
      <c r="C42" s="54"/>
      <c r="D42" s="28"/>
      <c r="E42" s="28"/>
      <c r="F42" s="23">
        <f>Nov!F42+(D42-E42)</f>
        <v>0</v>
      </c>
      <c r="G42" s="8"/>
      <c r="H42" s="9"/>
      <c r="I42" s="25"/>
    </row>
    <row r="43" spans="1:9" x14ac:dyDescent="0.3">
      <c r="A43" s="14"/>
      <c r="B43" s="15"/>
      <c r="C43" s="54"/>
      <c r="D43" s="28"/>
      <c r="E43" s="28"/>
      <c r="F43" s="23">
        <f>Nov!F43+(D43-E43)</f>
        <v>0</v>
      </c>
      <c r="G43" s="8"/>
      <c r="H43" s="9"/>
      <c r="I43" s="25"/>
    </row>
    <row r="44" spans="1:9" x14ac:dyDescent="0.3">
      <c r="A44" s="14"/>
      <c r="B44" s="15"/>
      <c r="C44" s="54"/>
      <c r="D44" s="28"/>
      <c r="E44" s="28"/>
      <c r="F44" s="23">
        <f>Nov!F44+(D44-E44)</f>
        <v>0</v>
      </c>
      <c r="G44" s="8"/>
      <c r="H44" s="9"/>
      <c r="I44" s="25"/>
    </row>
    <row r="45" spans="1:9" x14ac:dyDescent="0.3">
      <c r="A45" s="14"/>
      <c r="B45" s="15"/>
      <c r="C45" s="54"/>
      <c r="D45" s="28"/>
      <c r="E45" s="28"/>
      <c r="F45" s="23">
        <f>Nov!F45+(D45-E45)</f>
        <v>0</v>
      </c>
      <c r="G45" s="8"/>
      <c r="H45" s="9"/>
      <c r="I45" s="25"/>
    </row>
    <row r="46" spans="1:9" x14ac:dyDescent="0.3">
      <c r="A46" s="14"/>
      <c r="B46" s="15"/>
      <c r="C46" s="54"/>
      <c r="D46" s="28"/>
      <c r="E46" s="28"/>
      <c r="F46" s="23">
        <f>Nov!F46+(D46-E46)</f>
        <v>0</v>
      </c>
      <c r="G46" s="8"/>
      <c r="H46" s="9"/>
      <c r="I46" s="25"/>
    </row>
    <row r="47" spans="1:9" x14ac:dyDescent="0.3">
      <c r="A47" s="14"/>
      <c r="B47" s="15"/>
      <c r="C47" s="54"/>
      <c r="D47" s="28"/>
      <c r="E47" s="28"/>
      <c r="F47" s="23">
        <f>Nov!F47+(D47-E47)</f>
        <v>0</v>
      </c>
      <c r="G47" s="8"/>
      <c r="H47" s="9"/>
      <c r="I47" s="25"/>
    </row>
    <row r="48" spans="1:9" x14ac:dyDescent="0.3">
      <c r="A48" s="14"/>
      <c r="B48" s="15"/>
      <c r="C48" s="54"/>
      <c r="D48" s="28"/>
      <c r="E48" s="28"/>
      <c r="F48" s="23">
        <f>Nov!F48+(D48-E48)</f>
        <v>0</v>
      </c>
      <c r="G48" s="8"/>
      <c r="H48" s="9"/>
      <c r="I48" s="25"/>
    </row>
    <row r="49" spans="1:9" x14ac:dyDescent="0.3">
      <c r="A49" s="14"/>
      <c r="B49" s="15"/>
      <c r="C49" s="54"/>
      <c r="D49" s="28"/>
      <c r="E49" s="28"/>
      <c r="F49" s="23">
        <f>Nov!F49+(D49-E49)</f>
        <v>0</v>
      </c>
      <c r="G49" s="8"/>
      <c r="H49" s="9"/>
      <c r="I49" s="25"/>
    </row>
    <row r="50" spans="1:9" x14ac:dyDescent="0.3">
      <c r="A50" s="14"/>
      <c r="B50" s="15"/>
      <c r="C50" s="54"/>
      <c r="D50" s="28"/>
      <c r="E50" s="28"/>
      <c r="F50" s="23">
        <f>Nov!F50+(D50-E50)</f>
        <v>0</v>
      </c>
      <c r="G50" s="8"/>
      <c r="H50" s="9"/>
      <c r="I50" s="25"/>
    </row>
    <row r="51" spans="1:9" x14ac:dyDescent="0.3">
      <c r="A51" s="14"/>
      <c r="B51" s="15"/>
      <c r="C51" s="54"/>
      <c r="D51" s="28"/>
      <c r="E51" s="28"/>
      <c r="F51" s="23">
        <f>Nov!F51+(D51-E51)</f>
        <v>0</v>
      </c>
      <c r="G51" s="8"/>
      <c r="H51" s="9"/>
      <c r="I51" s="25"/>
    </row>
    <row r="52" spans="1:9" x14ac:dyDescent="0.3">
      <c r="A52" s="14"/>
      <c r="B52" s="15"/>
      <c r="C52" s="54"/>
      <c r="D52" s="28"/>
      <c r="E52" s="28"/>
      <c r="F52" s="23">
        <f>Nov!F52+(D52-E52)</f>
        <v>0</v>
      </c>
      <c r="G52" s="8"/>
      <c r="H52" s="9"/>
      <c r="I52" s="25"/>
    </row>
    <row r="53" spans="1:9" x14ac:dyDescent="0.3">
      <c r="A53" s="14"/>
      <c r="B53" s="15"/>
      <c r="C53" s="54"/>
      <c r="D53" s="28"/>
      <c r="E53" s="28"/>
      <c r="F53" s="23">
        <f>Nov!F53+(D53-E53)</f>
        <v>0</v>
      </c>
      <c r="G53" s="8"/>
      <c r="H53" s="9"/>
      <c r="I53" s="25"/>
    </row>
    <row r="54" spans="1:9" x14ac:dyDescent="0.3">
      <c r="A54" s="14"/>
      <c r="B54" s="15"/>
      <c r="C54" s="54"/>
      <c r="D54" s="28"/>
      <c r="E54" s="28"/>
      <c r="F54" s="23">
        <f>Nov!F54+(D54-E54)</f>
        <v>0</v>
      </c>
      <c r="G54" s="8"/>
      <c r="H54" s="9"/>
      <c r="I54" s="25"/>
    </row>
    <row r="55" spans="1:9" x14ac:dyDescent="0.3">
      <c r="A55" s="14"/>
      <c r="B55" s="15"/>
      <c r="C55" s="54"/>
      <c r="D55" s="28"/>
      <c r="E55" s="28"/>
      <c r="F55" s="23">
        <f>Nov!F55+(D55-E55)</f>
        <v>0</v>
      </c>
      <c r="G55" s="8"/>
      <c r="H55" s="9"/>
      <c r="I55" s="25"/>
    </row>
    <row r="56" spans="1:9" x14ac:dyDescent="0.3">
      <c r="A56" s="14"/>
      <c r="B56" s="15"/>
      <c r="C56" s="54"/>
      <c r="D56" s="28"/>
      <c r="E56" s="28"/>
      <c r="F56" s="23">
        <f>Nov!F56+(D56-E56)</f>
        <v>0</v>
      </c>
      <c r="G56" s="8"/>
      <c r="H56" s="9"/>
      <c r="I56" s="25"/>
    </row>
    <row r="57" spans="1:9" x14ac:dyDescent="0.3">
      <c r="A57" s="14"/>
      <c r="B57" s="15"/>
      <c r="C57" s="54"/>
      <c r="D57" s="28"/>
      <c r="E57" s="28"/>
      <c r="F57" s="23">
        <f>Nov!F57+(D57-E57)</f>
        <v>0</v>
      </c>
      <c r="G57" s="8"/>
      <c r="H57" s="9"/>
      <c r="I57" s="25"/>
    </row>
    <row r="58" spans="1:9" x14ac:dyDescent="0.3">
      <c r="A58" s="14"/>
      <c r="B58" s="15"/>
      <c r="C58" s="54"/>
      <c r="D58" s="28"/>
      <c r="E58" s="28"/>
      <c r="F58" s="23">
        <f>Nov!F58+(D58-E58)</f>
        <v>0</v>
      </c>
      <c r="G58" s="8"/>
      <c r="H58" s="9"/>
      <c r="I58" s="25"/>
    </row>
    <row r="59" spans="1:9" x14ac:dyDescent="0.3">
      <c r="A59" s="14"/>
      <c r="B59" s="15"/>
      <c r="C59" s="54"/>
      <c r="D59" s="28"/>
      <c r="E59" s="28"/>
      <c r="F59" s="23">
        <f>Nov!F59+(D59-E59)</f>
        <v>0</v>
      </c>
      <c r="G59" s="8"/>
      <c r="H59" s="9"/>
      <c r="I59" s="25"/>
    </row>
    <row r="60" spans="1:9" x14ac:dyDescent="0.3">
      <c r="A60" s="14"/>
      <c r="B60" s="15"/>
      <c r="C60" s="54"/>
      <c r="D60" s="28"/>
      <c r="E60" s="28"/>
      <c r="F60" s="23">
        <f>Nov!F60+(D60-E60)</f>
        <v>0</v>
      </c>
      <c r="G60" s="8"/>
      <c r="H60" s="9"/>
      <c r="I60" s="25"/>
    </row>
    <row r="61" spans="1:9" x14ac:dyDescent="0.3">
      <c r="A61" s="14"/>
      <c r="B61" s="15"/>
      <c r="C61" s="54"/>
      <c r="D61" s="28"/>
      <c r="E61" s="28"/>
      <c r="F61" s="23">
        <f>Nov!F61+(D61-E61)</f>
        <v>0</v>
      </c>
      <c r="G61" s="8"/>
      <c r="H61" s="9"/>
      <c r="I61" s="25"/>
    </row>
    <row r="62" spans="1:9" x14ac:dyDescent="0.3">
      <c r="A62" s="14"/>
      <c r="B62" s="15"/>
      <c r="C62" s="54"/>
      <c r="D62" s="28"/>
      <c r="E62" s="28"/>
      <c r="F62" s="23">
        <f>Nov!F62+(D62-E62)</f>
        <v>0</v>
      </c>
      <c r="G62" s="8"/>
      <c r="H62" s="9"/>
      <c r="I62" s="25"/>
    </row>
    <row r="63" spans="1:9" x14ac:dyDescent="0.3">
      <c r="A63" s="14"/>
      <c r="B63" s="15"/>
      <c r="C63" s="54"/>
      <c r="D63" s="28"/>
      <c r="E63" s="28"/>
      <c r="F63" s="23">
        <f>Nov!F63+(D63-E63)</f>
        <v>0</v>
      </c>
      <c r="G63" s="8"/>
      <c r="H63" s="9"/>
      <c r="I63" s="25"/>
    </row>
    <row r="64" spans="1:9" x14ac:dyDescent="0.3">
      <c r="A64" s="14"/>
      <c r="B64" s="15"/>
      <c r="C64" s="54"/>
      <c r="D64" s="28"/>
      <c r="E64" s="28"/>
      <c r="F64" s="23">
        <f>Nov!F64+(D64-E64)</f>
        <v>0</v>
      </c>
      <c r="G64" s="8"/>
      <c r="H64" s="9"/>
      <c r="I64" s="25"/>
    </row>
    <row r="65" spans="1:9" x14ac:dyDescent="0.3">
      <c r="A65" s="14"/>
      <c r="B65" s="15"/>
      <c r="C65" s="54"/>
      <c r="D65" s="28"/>
      <c r="E65" s="28"/>
      <c r="F65" s="23">
        <f>Nov!F65+(D65-E65)</f>
        <v>0</v>
      </c>
      <c r="G65" s="8"/>
      <c r="H65" s="9"/>
      <c r="I65" s="25"/>
    </row>
    <row r="66" spans="1:9" x14ac:dyDescent="0.3">
      <c r="A66" s="14"/>
      <c r="B66" s="15"/>
      <c r="C66" s="54"/>
      <c r="D66" s="28"/>
      <c r="E66" s="28"/>
      <c r="F66" s="23">
        <f>Nov!F66+(D66-E66)</f>
        <v>0</v>
      </c>
      <c r="G66" s="8"/>
      <c r="H66" s="9"/>
      <c r="I66" s="25"/>
    </row>
    <row r="67" spans="1:9" x14ac:dyDescent="0.3">
      <c r="A67" s="14"/>
      <c r="B67" s="15"/>
      <c r="C67" s="54"/>
      <c r="D67" s="28"/>
      <c r="E67" s="28"/>
      <c r="F67" s="23">
        <f>Nov!F67+(D67-E67)</f>
        <v>0</v>
      </c>
      <c r="G67" s="8"/>
      <c r="H67" s="9"/>
      <c r="I67" s="25"/>
    </row>
    <row r="68" spans="1:9" x14ac:dyDescent="0.3">
      <c r="A68" s="14"/>
      <c r="B68" s="15"/>
      <c r="C68" s="54"/>
      <c r="D68" s="28"/>
      <c r="E68" s="28"/>
      <c r="F68" s="23">
        <f>Nov!F68+(D68-E68)</f>
        <v>0</v>
      </c>
      <c r="G68" s="8"/>
      <c r="H68" s="9"/>
      <c r="I68" s="25"/>
    </row>
    <row r="69" spans="1:9" x14ac:dyDescent="0.3">
      <c r="A69" s="14"/>
      <c r="B69" s="15"/>
      <c r="C69" s="54"/>
      <c r="D69" s="28"/>
      <c r="E69" s="28"/>
      <c r="F69" s="23">
        <f>Nov!F69+(D69-E69)</f>
        <v>0</v>
      </c>
      <c r="G69" s="8"/>
      <c r="H69" s="9"/>
      <c r="I69" s="25"/>
    </row>
    <row r="70" spans="1:9" x14ac:dyDescent="0.3">
      <c r="A70" s="14"/>
      <c r="B70" s="15"/>
      <c r="C70" s="54"/>
      <c r="D70" s="28"/>
      <c r="E70" s="28"/>
      <c r="F70" s="23">
        <f>Nov!F70+(D70-E70)</f>
        <v>0</v>
      </c>
      <c r="G70" s="8"/>
      <c r="H70" s="9"/>
      <c r="I70" s="25"/>
    </row>
    <row r="71" spans="1:9" x14ac:dyDescent="0.3">
      <c r="A71" s="14"/>
      <c r="B71" s="15"/>
      <c r="C71" s="54"/>
      <c r="D71" s="28"/>
      <c r="E71" s="28"/>
      <c r="F71" s="23">
        <f>Nov!F71+(D71-E71)</f>
        <v>0</v>
      </c>
      <c r="G71" s="8"/>
      <c r="H71" s="9"/>
      <c r="I71" s="25"/>
    </row>
    <row r="72" spans="1:9" x14ac:dyDescent="0.3">
      <c r="A72" s="14"/>
      <c r="B72" s="15"/>
      <c r="C72" s="54"/>
      <c r="D72" s="28"/>
      <c r="E72" s="28"/>
      <c r="F72" s="23">
        <f>Nov!F72+(D72-E72)</f>
        <v>0</v>
      </c>
      <c r="G72" s="8"/>
      <c r="H72" s="9"/>
      <c r="I72" s="25"/>
    </row>
    <row r="73" spans="1:9" x14ac:dyDescent="0.3">
      <c r="A73" s="14"/>
      <c r="B73" s="15"/>
      <c r="C73" s="54"/>
      <c r="D73" s="28"/>
      <c r="E73" s="28"/>
      <c r="F73" s="23">
        <f>Nov!F73+(D73-E73)</f>
        <v>0</v>
      </c>
      <c r="G73" s="8"/>
      <c r="H73" s="9"/>
      <c r="I73" s="25"/>
    </row>
    <row r="74" spans="1:9" x14ac:dyDescent="0.3">
      <c r="A74" s="14"/>
      <c r="B74" s="15"/>
      <c r="C74" s="54"/>
      <c r="D74" s="28"/>
      <c r="E74" s="28"/>
      <c r="F74" s="23">
        <f>Nov!F74+(D74-E74)</f>
        <v>0</v>
      </c>
      <c r="G74" s="8"/>
      <c r="H74" s="9"/>
      <c r="I74" s="25"/>
    </row>
    <row r="75" spans="1:9" x14ac:dyDescent="0.3">
      <c r="A75" s="14"/>
      <c r="B75" s="15"/>
      <c r="C75" s="54"/>
      <c r="D75" s="28"/>
      <c r="E75" s="28"/>
      <c r="F75" s="23">
        <f>Nov!F75+(D75-E75)</f>
        <v>0</v>
      </c>
      <c r="G75" s="8"/>
      <c r="H75" s="9"/>
      <c r="I75" s="25"/>
    </row>
    <row r="76" spans="1:9" x14ac:dyDescent="0.3">
      <c r="A76" s="14"/>
      <c r="B76" s="15"/>
      <c r="C76" s="54"/>
      <c r="D76" s="28"/>
      <c r="E76" s="28"/>
      <c r="F76" s="23">
        <f>Nov!F76+(D76-E76)</f>
        <v>0</v>
      </c>
      <c r="G76" s="8"/>
      <c r="H76" s="9"/>
      <c r="I76" s="25"/>
    </row>
    <row r="77" spans="1:9" x14ac:dyDescent="0.3">
      <c r="A77" s="14"/>
      <c r="B77" s="15"/>
      <c r="C77" s="54"/>
      <c r="D77" s="28"/>
      <c r="E77" s="28"/>
      <c r="F77" s="23">
        <f>Nov!F77+(D77-E77)</f>
        <v>0</v>
      </c>
      <c r="G77" s="8"/>
      <c r="H77" s="9"/>
      <c r="I77" s="25"/>
    </row>
    <row r="78" spans="1:9" x14ac:dyDescent="0.3">
      <c r="A78" s="14"/>
      <c r="B78" s="15"/>
      <c r="C78" s="54"/>
      <c r="D78" s="28"/>
      <c r="E78" s="28"/>
      <c r="F78" s="23">
        <f>Nov!F78+(D78-E78)</f>
        <v>0</v>
      </c>
      <c r="G78" s="8"/>
      <c r="H78" s="9"/>
      <c r="I78" s="25"/>
    </row>
    <row r="79" spans="1:9" x14ac:dyDescent="0.3">
      <c r="A79" s="14"/>
      <c r="B79" s="15"/>
      <c r="C79" s="54"/>
      <c r="D79" s="28"/>
      <c r="E79" s="28"/>
      <c r="F79" s="23">
        <f>Nov!F79+(D79-E79)</f>
        <v>0</v>
      </c>
      <c r="G79" s="8"/>
      <c r="H79" s="9"/>
      <c r="I79" s="25"/>
    </row>
    <row r="80" spans="1:9" x14ac:dyDescent="0.3">
      <c r="A80" s="14"/>
      <c r="B80" s="15"/>
      <c r="C80" s="54"/>
      <c r="D80" s="28"/>
      <c r="E80" s="28"/>
      <c r="F80" s="23">
        <f>Nov!F80+(D80-E80)</f>
        <v>0</v>
      </c>
      <c r="G80" s="8"/>
      <c r="H80" s="9"/>
      <c r="I80" s="25"/>
    </row>
    <row r="81" spans="1:9" x14ac:dyDescent="0.3">
      <c r="A81" s="14"/>
      <c r="B81" s="15"/>
      <c r="C81" s="54"/>
      <c r="D81" s="28"/>
      <c r="E81" s="28"/>
      <c r="F81" s="23">
        <f>Nov!F81+(D81-E81)</f>
        <v>0</v>
      </c>
      <c r="G81" s="8"/>
      <c r="H81" s="9"/>
      <c r="I81" s="25"/>
    </row>
    <row r="82" spans="1:9" x14ac:dyDescent="0.3">
      <c r="A82" s="14"/>
      <c r="B82" s="15"/>
      <c r="C82" s="54"/>
      <c r="D82" s="28"/>
      <c r="E82" s="28"/>
      <c r="F82" s="23">
        <f>Nov!F82+(D82-E82)</f>
        <v>0</v>
      </c>
      <c r="G82" s="8"/>
      <c r="H82" s="9"/>
      <c r="I82" s="25"/>
    </row>
    <row r="83" spans="1:9" x14ac:dyDescent="0.3">
      <c r="A83" s="14"/>
      <c r="B83" s="15"/>
      <c r="C83" s="54"/>
      <c r="D83" s="28"/>
      <c r="E83" s="28"/>
      <c r="F83" s="23">
        <f>Nov!F83+(D83-E83)</f>
        <v>0</v>
      </c>
      <c r="G83" s="8"/>
      <c r="H83" s="9"/>
      <c r="I83" s="25"/>
    </row>
    <row r="84" spans="1:9" x14ac:dyDescent="0.3">
      <c r="A84" s="14"/>
      <c r="B84" s="15"/>
      <c r="C84" s="54"/>
      <c r="D84" s="28"/>
      <c r="E84" s="28"/>
      <c r="F84" s="23">
        <f>Nov!F84+(D84-E84)</f>
        <v>0</v>
      </c>
      <c r="G84" s="8"/>
      <c r="H84" s="9"/>
      <c r="I84" s="25"/>
    </row>
    <row r="85" spans="1:9" x14ac:dyDescent="0.3">
      <c r="A85" s="14"/>
      <c r="B85" s="15"/>
      <c r="C85" s="54"/>
      <c r="D85" s="28"/>
      <c r="E85" s="28"/>
      <c r="F85" s="23">
        <f>Nov!F85+(D85-E85)</f>
        <v>0</v>
      </c>
      <c r="G85" s="8"/>
      <c r="H85" s="9"/>
      <c r="I85" s="25"/>
    </row>
    <row r="86" spans="1:9" x14ac:dyDescent="0.3">
      <c r="A86" s="14"/>
      <c r="B86" s="15"/>
      <c r="C86" s="54"/>
      <c r="D86" s="28"/>
      <c r="E86" s="28"/>
      <c r="F86" s="23">
        <f>Nov!F86+(D86-E86)</f>
        <v>0</v>
      </c>
      <c r="G86" s="8"/>
      <c r="H86" s="9"/>
      <c r="I86" s="25"/>
    </row>
    <row r="87" spans="1:9" x14ac:dyDescent="0.3">
      <c r="A87" s="14"/>
      <c r="B87" s="15"/>
      <c r="C87" s="54"/>
      <c r="D87" s="28"/>
      <c r="E87" s="28"/>
      <c r="F87" s="23">
        <f>Nov!F87+(D87-E87)</f>
        <v>0</v>
      </c>
      <c r="G87" s="8"/>
      <c r="H87" s="9"/>
      <c r="I87" s="25"/>
    </row>
    <row r="88" spans="1:9" x14ac:dyDescent="0.3">
      <c r="A88" s="14"/>
      <c r="B88" s="15"/>
      <c r="C88" s="54"/>
      <c r="D88" s="28"/>
      <c r="E88" s="28"/>
      <c r="F88" s="23">
        <f>Nov!F88+(D88-E88)</f>
        <v>0</v>
      </c>
      <c r="G88" s="8"/>
      <c r="H88" s="9"/>
      <c r="I88" s="25"/>
    </row>
    <row r="89" spans="1:9" x14ac:dyDescent="0.3">
      <c r="A89" s="14"/>
      <c r="B89" s="15"/>
      <c r="C89" s="54"/>
      <c r="D89" s="28"/>
      <c r="E89" s="28"/>
      <c r="F89" s="23">
        <f>Nov!F89+(D89-E89)</f>
        <v>0</v>
      </c>
      <c r="G89" s="8"/>
      <c r="H89" s="9"/>
      <c r="I89" s="25"/>
    </row>
    <row r="90" spans="1:9" x14ac:dyDescent="0.3">
      <c r="A90" s="14"/>
      <c r="B90" s="15"/>
      <c r="C90" s="54"/>
      <c r="D90" s="28"/>
      <c r="E90" s="28"/>
      <c r="F90" s="23">
        <f>Nov!F90+(D90-E90)</f>
        <v>0</v>
      </c>
      <c r="G90" s="8"/>
      <c r="H90" s="9"/>
      <c r="I90" s="25"/>
    </row>
    <row r="91" spans="1:9" x14ac:dyDescent="0.3">
      <c r="A91" s="14"/>
      <c r="B91" s="15"/>
      <c r="C91" s="54"/>
      <c r="D91" s="28"/>
      <c r="E91" s="28"/>
      <c r="F91" s="23">
        <f>Nov!F91+(D91-E91)</f>
        <v>0</v>
      </c>
      <c r="G91" s="8"/>
      <c r="H91" s="9"/>
      <c r="I91" s="25"/>
    </row>
    <row r="92" spans="1:9" x14ac:dyDescent="0.3">
      <c r="A92" s="14"/>
      <c r="B92" s="15"/>
      <c r="C92" s="54"/>
      <c r="D92" s="28"/>
      <c r="E92" s="28"/>
      <c r="F92" s="23">
        <f>Nov!F92+(D92-E92)</f>
        <v>0</v>
      </c>
      <c r="G92" s="8"/>
      <c r="H92" s="9"/>
      <c r="I92" s="25"/>
    </row>
    <row r="93" spans="1:9" x14ac:dyDescent="0.3">
      <c r="A93" s="14"/>
      <c r="B93" s="15"/>
      <c r="C93" s="54"/>
      <c r="D93" s="28"/>
      <c r="E93" s="28"/>
      <c r="F93" s="23">
        <f>Nov!F93+(D93-E93)</f>
        <v>0</v>
      </c>
      <c r="G93" s="8"/>
      <c r="H93" s="9"/>
      <c r="I93" s="25"/>
    </row>
    <row r="94" spans="1:9" x14ac:dyDescent="0.3">
      <c r="A94" s="14"/>
      <c r="B94" s="15"/>
      <c r="C94" s="54"/>
      <c r="D94" s="28"/>
      <c r="E94" s="28"/>
      <c r="F94" s="23">
        <f>Nov!F94+(D94-E94)</f>
        <v>0</v>
      </c>
      <c r="G94" s="8"/>
      <c r="H94" s="9"/>
      <c r="I94" s="25"/>
    </row>
    <row r="95" spans="1:9" x14ac:dyDescent="0.3">
      <c r="A95" s="14"/>
      <c r="B95" s="15"/>
      <c r="C95" s="54"/>
      <c r="D95" s="28"/>
      <c r="E95" s="28"/>
      <c r="F95" s="23">
        <f>Nov!F95+(D95-E95)</f>
        <v>0</v>
      </c>
      <c r="G95" s="8"/>
      <c r="H95" s="9"/>
      <c r="I95" s="25"/>
    </row>
    <row r="96" spans="1:9" x14ac:dyDescent="0.3">
      <c r="A96" s="14"/>
      <c r="B96" s="15"/>
      <c r="C96" s="54"/>
      <c r="D96" s="28"/>
      <c r="E96" s="28"/>
      <c r="F96" s="23">
        <f>Nov!F96+(D96-E96)</f>
        <v>0</v>
      </c>
      <c r="G96" s="8"/>
      <c r="H96" s="9"/>
      <c r="I96" s="25"/>
    </row>
    <row r="97" spans="1:9" x14ac:dyDescent="0.3">
      <c r="A97" s="14"/>
      <c r="B97" s="15"/>
      <c r="C97" s="54"/>
      <c r="D97" s="28"/>
      <c r="E97" s="28"/>
      <c r="F97" s="23">
        <f>Nov!F97+(D97-E97)</f>
        <v>0</v>
      </c>
      <c r="G97" s="8"/>
      <c r="H97" s="9"/>
      <c r="I97" s="25"/>
    </row>
    <row r="98" spans="1:9" x14ac:dyDescent="0.3">
      <c r="A98" s="14"/>
      <c r="B98" s="15"/>
      <c r="C98" s="54"/>
      <c r="D98" s="28"/>
      <c r="E98" s="28"/>
      <c r="F98" s="23">
        <f>Nov!F98+(D98-E98)</f>
        <v>0</v>
      </c>
      <c r="G98" s="8"/>
      <c r="H98" s="9"/>
      <c r="I98" s="25"/>
    </row>
    <row r="99" spans="1:9" x14ac:dyDescent="0.3">
      <c r="A99" s="14"/>
      <c r="B99" s="15"/>
      <c r="C99" s="54"/>
      <c r="D99" s="28"/>
      <c r="E99" s="28"/>
      <c r="F99" s="23">
        <f>Nov!F99+(D99-E99)</f>
        <v>0</v>
      </c>
      <c r="G99" s="8"/>
      <c r="H99" s="9"/>
      <c r="I99" s="25"/>
    </row>
    <row r="100" spans="1:9" x14ac:dyDescent="0.3">
      <c r="A100" s="14"/>
      <c r="B100" s="15"/>
      <c r="C100" s="54"/>
      <c r="D100" s="28"/>
      <c r="E100" s="28"/>
      <c r="F100" s="23">
        <f>Nov!F100+(D100-E100)</f>
        <v>0</v>
      </c>
      <c r="G100" s="8"/>
      <c r="H100" s="9"/>
      <c r="I100" s="25"/>
    </row>
    <row r="101" spans="1:9" x14ac:dyDescent="0.3">
      <c r="A101" s="14"/>
      <c r="B101" s="15"/>
      <c r="C101" s="54"/>
      <c r="D101" s="28"/>
      <c r="E101" s="28"/>
      <c r="F101" s="23">
        <f>Nov!F101+(D101-E101)</f>
        <v>0</v>
      </c>
      <c r="G101" s="8"/>
      <c r="H101" s="9"/>
      <c r="I101" s="25"/>
    </row>
    <row r="102" spans="1:9" x14ac:dyDescent="0.3">
      <c r="A102" s="14"/>
      <c r="B102" s="15"/>
      <c r="C102" s="54"/>
      <c r="D102" s="28"/>
      <c r="E102" s="28"/>
      <c r="F102" s="23">
        <f>Nov!F102+(D102-E102)</f>
        <v>0</v>
      </c>
      <c r="G102" s="8"/>
      <c r="H102" s="9"/>
      <c r="I102" s="25"/>
    </row>
    <row r="103" spans="1:9" x14ac:dyDescent="0.3">
      <c r="A103" s="14"/>
      <c r="B103" s="15"/>
      <c r="C103" s="54"/>
      <c r="D103" s="28"/>
      <c r="E103" s="28"/>
      <c r="F103" s="23">
        <f>Nov!F103+(D103-E103)</f>
        <v>0</v>
      </c>
      <c r="G103" s="8"/>
      <c r="H103" s="9"/>
      <c r="I103" s="25"/>
    </row>
    <row r="104" spans="1:9" x14ac:dyDescent="0.3">
      <c r="A104" s="14"/>
      <c r="B104" s="15"/>
      <c r="C104" s="54"/>
      <c r="D104" s="28"/>
      <c r="E104" s="28"/>
      <c r="F104" s="23">
        <f>Nov!F104+(D104-E104)</f>
        <v>0</v>
      </c>
      <c r="G104" s="8"/>
      <c r="H104" s="9"/>
      <c r="I104" s="25"/>
    </row>
    <row r="105" spans="1:9" x14ac:dyDescent="0.3">
      <c r="A105" s="14"/>
      <c r="B105" s="15"/>
      <c r="C105" s="54"/>
      <c r="D105" s="28"/>
      <c r="E105" s="28"/>
      <c r="F105" s="23">
        <f>Nov!F105+(D105-E105)</f>
        <v>0</v>
      </c>
      <c r="G105" s="8"/>
      <c r="H105" s="9"/>
      <c r="I105" s="25"/>
    </row>
    <row r="106" spans="1:9" x14ac:dyDescent="0.3">
      <c r="A106" s="14"/>
      <c r="B106" s="15"/>
      <c r="C106" s="54"/>
      <c r="D106" s="28"/>
      <c r="E106" s="28"/>
      <c r="F106" s="23">
        <f>Nov!F106+(D106-E106)</f>
        <v>0</v>
      </c>
      <c r="G106" s="8"/>
      <c r="H106" s="9"/>
      <c r="I106" s="25"/>
    </row>
    <row r="107" spans="1:9" x14ac:dyDescent="0.3">
      <c r="A107" s="14"/>
      <c r="B107" s="15"/>
      <c r="C107" s="54"/>
      <c r="D107" s="28"/>
      <c r="E107" s="28"/>
      <c r="F107" s="23">
        <f>Nov!F107+(D107-E107)</f>
        <v>0</v>
      </c>
      <c r="G107" s="8"/>
      <c r="H107" s="9"/>
      <c r="I107" s="25"/>
    </row>
    <row r="108" spans="1:9" x14ac:dyDescent="0.3">
      <c r="A108" s="14"/>
      <c r="B108" s="15"/>
      <c r="C108" s="54"/>
      <c r="D108" s="28"/>
      <c r="E108" s="28"/>
      <c r="F108" s="23">
        <f>Nov!F108+(D108-E108)</f>
        <v>0</v>
      </c>
      <c r="G108" s="8"/>
      <c r="H108" s="9"/>
      <c r="I108" s="25"/>
    </row>
    <row r="109" spans="1:9" x14ac:dyDescent="0.3">
      <c r="A109" s="14"/>
      <c r="B109" s="15"/>
      <c r="C109" s="54"/>
      <c r="D109" s="28"/>
      <c r="E109" s="28"/>
      <c r="F109" s="23">
        <f>Nov!F109+(D109-E109)</f>
        <v>0</v>
      </c>
      <c r="G109" s="8"/>
      <c r="H109" s="9"/>
      <c r="I109" s="25"/>
    </row>
    <row r="110" spans="1:9" x14ac:dyDescent="0.3">
      <c r="A110" s="14"/>
      <c r="B110" s="15"/>
      <c r="C110" s="54"/>
      <c r="D110" s="28"/>
      <c r="E110" s="28"/>
      <c r="F110" s="23">
        <f>Nov!F110+(D110-E110)</f>
        <v>0</v>
      </c>
      <c r="G110" s="8"/>
      <c r="H110" s="9"/>
      <c r="I110" s="25"/>
    </row>
    <row r="111" spans="1:9" x14ac:dyDescent="0.3">
      <c r="A111" s="14"/>
      <c r="B111" s="15"/>
      <c r="C111" s="54"/>
      <c r="D111" s="28"/>
      <c r="E111" s="28"/>
      <c r="F111" s="23">
        <f>Nov!F111+(D111-E111)</f>
        <v>0</v>
      </c>
      <c r="G111" s="8"/>
      <c r="H111" s="9"/>
      <c r="I111" s="25"/>
    </row>
    <row r="112" spans="1:9" x14ac:dyDescent="0.3">
      <c r="A112" s="14"/>
      <c r="B112" s="15"/>
      <c r="C112" s="54"/>
      <c r="D112" s="28"/>
      <c r="E112" s="28"/>
      <c r="F112" s="23">
        <f>Nov!F112+(D112-E112)</f>
        <v>0</v>
      </c>
      <c r="G112" s="8"/>
      <c r="H112" s="9"/>
      <c r="I112" s="25"/>
    </row>
    <row r="113" spans="1:9" x14ac:dyDescent="0.3">
      <c r="A113" s="14"/>
      <c r="B113" s="15"/>
      <c r="C113" s="54"/>
      <c r="D113" s="28"/>
      <c r="E113" s="28"/>
      <c r="F113" s="23">
        <f>Nov!F113+(D113-E113)</f>
        <v>0</v>
      </c>
      <c r="G113" s="8"/>
      <c r="H113" s="9"/>
      <c r="I113" s="25"/>
    </row>
    <row r="114" spans="1:9" x14ac:dyDescent="0.3">
      <c r="A114" s="14"/>
      <c r="B114" s="15"/>
      <c r="C114" s="54"/>
      <c r="D114" s="28"/>
      <c r="E114" s="28"/>
      <c r="F114" s="23">
        <f>Nov!F114+(D114-E114)</f>
        <v>0</v>
      </c>
      <c r="G114" s="8"/>
      <c r="H114" s="9"/>
      <c r="I114" s="25"/>
    </row>
    <row r="115" spans="1:9" x14ac:dyDescent="0.3">
      <c r="A115" s="14"/>
      <c r="B115" s="15"/>
      <c r="C115" s="54"/>
      <c r="D115" s="28"/>
      <c r="E115" s="28"/>
      <c r="F115" s="23">
        <f>Nov!F115+(D115-E115)</f>
        <v>0</v>
      </c>
      <c r="G115" s="8"/>
      <c r="H115" s="9"/>
      <c r="I115" s="25"/>
    </row>
    <row r="116" spans="1:9" x14ac:dyDescent="0.3">
      <c r="A116" s="14"/>
      <c r="B116" s="15"/>
      <c r="C116" s="54"/>
      <c r="D116" s="28"/>
      <c r="E116" s="28"/>
      <c r="F116" s="23">
        <f>Nov!F116+(D116-E116)</f>
        <v>0</v>
      </c>
      <c r="G116" s="8"/>
      <c r="H116" s="9"/>
      <c r="I116" s="25"/>
    </row>
    <row r="117" spans="1:9" x14ac:dyDescent="0.3">
      <c r="A117" s="14"/>
      <c r="B117" s="15"/>
      <c r="C117" s="54"/>
      <c r="D117" s="28"/>
      <c r="E117" s="28"/>
      <c r="F117" s="23">
        <f>Nov!F117+(D117-E117)</f>
        <v>0</v>
      </c>
      <c r="G117" s="8"/>
      <c r="H117" s="9"/>
      <c r="I117" s="25"/>
    </row>
    <row r="118" spans="1:9" x14ac:dyDescent="0.3">
      <c r="A118" s="14"/>
      <c r="B118" s="15"/>
      <c r="C118" s="54"/>
      <c r="D118" s="28"/>
      <c r="E118" s="28"/>
      <c r="F118" s="23">
        <f>Nov!F118+(D118-E118)</f>
        <v>0</v>
      </c>
      <c r="G118" s="8"/>
      <c r="H118" s="9"/>
      <c r="I118" s="25"/>
    </row>
    <row r="119" spans="1:9" x14ac:dyDescent="0.3">
      <c r="A119" s="14"/>
      <c r="B119" s="15"/>
      <c r="C119" s="54"/>
      <c r="D119" s="28"/>
      <c r="E119" s="28"/>
      <c r="F119" s="23">
        <f>Nov!F119+(D119-E119)</f>
        <v>0</v>
      </c>
      <c r="G119" s="8"/>
      <c r="H119" s="9"/>
      <c r="I119" s="25"/>
    </row>
    <row r="120" spans="1:9" x14ac:dyDescent="0.3">
      <c r="A120" s="14"/>
      <c r="B120" s="15"/>
      <c r="C120" s="54"/>
      <c r="D120" s="28"/>
      <c r="E120" s="28"/>
      <c r="F120" s="23">
        <f>Nov!F120+(D120-E120)</f>
        <v>0</v>
      </c>
      <c r="G120" s="8"/>
      <c r="H120" s="9"/>
      <c r="I120" s="25"/>
    </row>
    <row r="121" spans="1:9" x14ac:dyDescent="0.3">
      <c r="A121" s="14"/>
      <c r="B121" s="15"/>
      <c r="C121" s="54"/>
      <c r="D121" s="28"/>
      <c r="E121" s="28"/>
      <c r="F121" s="23">
        <f>Nov!F121+(D121-E121)</f>
        <v>0</v>
      </c>
      <c r="G121" s="8"/>
      <c r="H121" s="9"/>
      <c r="I121" s="25"/>
    </row>
    <row r="122" spans="1:9" x14ac:dyDescent="0.3">
      <c r="A122" s="14"/>
      <c r="B122" s="15"/>
      <c r="C122" s="54"/>
      <c r="D122" s="28"/>
      <c r="E122" s="28"/>
      <c r="F122" s="23">
        <f>Nov!F122+(D122-E122)</f>
        <v>0</v>
      </c>
      <c r="G122" s="8"/>
      <c r="H122" s="9"/>
      <c r="I122" s="25"/>
    </row>
    <row r="123" spans="1:9" x14ac:dyDescent="0.3">
      <c r="A123" s="14"/>
      <c r="B123" s="15"/>
      <c r="C123" s="54"/>
      <c r="D123" s="28"/>
      <c r="E123" s="28"/>
      <c r="F123" s="23">
        <f>Nov!F123+(D123-E123)</f>
        <v>0</v>
      </c>
      <c r="G123" s="8"/>
      <c r="H123" s="9"/>
      <c r="I123" s="25"/>
    </row>
    <row r="124" spans="1:9" x14ac:dyDescent="0.3">
      <c r="A124" s="14"/>
      <c r="B124" s="15"/>
      <c r="C124" s="54"/>
      <c r="D124" s="28"/>
      <c r="E124" s="28"/>
      <c r="F124" s="23">
        <f>Nov!F124+(D124-E124)</f>
        <v>0</v>
      </c>
      <c r="G124" s="8"/>
      <c r="H124" s="9"/>
      <c r="I124" s="25"/>
    </row>
    <row r="125" spans="1:9" x14ac:dyDescent="0.3">
      <c r="A125" s="14"/>
      <c r="B125" s="15"/>
      <c r="C125" s="54"/>
      <c r="D125" s="28"/>
      <c r="E125" s="28"/>
      <c r="F125" s="23">
        <f>Nov!F125+(D125-E125)</f>
        <v>0</v>
      </c>
      <c r="G125" s="8"/>
      <c r="H125" s="9"/>
      <c r="I125" s="25"/>
    </row>
    <row r="126" spans="1:9" x14ac:dyDescent="0.3">
      <c r="A126" s="14"/>
      <c r="B126" s="15"/>
      <c r="C126" s="54"/>
      <c r="D126" s="28"/>
      <c r="E126" s="28"/>
      <c r="F126" s="23">
        <f>Nov!F126+(D126-E126)</f>
        <v>0</v>
      </c>
      <c r="G126" s="8"/>
      <c r="H126" s="9"/>
      <c r="I126" s="25"/>
    </row>
    <row r="127" spans="1:9" x14ac:dyDescent="0.3">
      <c r="A127" s="14"/>
      <c r="B127" s="15"/>
      <c r="C127" s="54"/>
      <c r="D127" s="28"/>
      <c r="E127" s="28"/>
      <c r="F127" s="23">
        <f>Nov!F127+(D127-E127)</f>
        <v>0</v>
      </c>
      <c r="G127" s="8"/>
      <c r="H127" s="9"/>
      <c r="I127" s="25"/>
    </row>
    <row r="128" spans="1:9" x14ac:dyDescent="0.3">
      <c r="A128" s="14"/>
      <c r="B128" s="15"/>
      <c r="C128" s="54"/>
      <c r="D128" s="28"/>
      <c r="E128" s="28"/>
      <c r="F128" s="23">
        <f>Nov!F128+(D128-E128)</f>
        <v>0</v>
      </c>
      <c r="G128" s="8"/>
      <c r="H128" s="9"/>
      <c r="I128" s="25"/>
    </row>
    <row r="129" spans="1:9" x14ac:dyDescent="0.3">
      <c r="A129" s="14"/>
      <c r="B129" s="15"/>
      <c r="C129" s="54"/>
      <c r="D129" s="28"/>
      <c r="E129" s="28"/>
      <c r="F129" s="23">
        <f>Nov!F129+(D129-E129)</f>
        <v>0</v>
      </c>
      <c r="G129" s="8"/>
      <c r="H129" s="9"/>
      <c r="I129" s="25"/>
    </row>
    <row r="130" spans="1:9" x14ac:dyDescent="0.3">
      <c r="A130" s="14"/>
      <c r="B130" s="15"/>
      <c r="C130" s="54"/>
      <c r="D130" s="28"/>
      <c r="E130" s="28"/>
      <c r="F130" s="23">
        <f>Nov!F130+(D130-E130)</f>
        <v>0</v>
      </c>
      <c r="G130" s="8"/>
      <c r="H130" s="9"/>
      <c r="I130" s="25"/>
    </row>
    <row r="131" spans="1:9" x14ac:dyDescent="0.3">
      <c r="A131" s="14"/>
      <c r="B131" s="15"/>
      <c r="C131" s="54"/>
      <c r="D131" s="28"/>
      <c r="E131" s="28"/>
      <c r="F131" s="23">
        <f>Nov!F131+(D131-E131)</f>
        <v>0</v>
      </c>
      <c r="G131" s="8"/>
      <c r="H131" s="9"/>
      <c r="I131" s="25"/>
    </row>
    <row r="132" spans="1:9" x14ac:dyDescent="0.3">
      <c r="A132" s="14"/>
      <c r="B132" s="15"/>
      <c r="C132" s="54"/>
      <c r="D132" s="28"/>
      <c r="E132" s="28"/>
      <c r="F132" s="23">
        <f>Nov!F132+(D132-E132)</f>
        <v>0</v>
      </c>
      <c r="G132" s="8"/>
      <c r="H132" s="9"/>
      <c r="I132" s="25"/>
    </row>
    <row r="133" spans="1:9" x14ac:dyDescent="0.3">
      <c r="A133" s="14"/>
      <c r="B133" s="15"/>
      <c r="C133" s="54"/>
      <c r="D133" s="28"/>
      <c r="E133" s="28"/>
      <c r="F133" s="23">
        <f>Nov!F133+(D133-E133)</f>
        <v>0</v>
      </c>
      <c r="G133" s="8"/>
      <c r="H133" s="9"/>
      <c r="I133" s="25"/>
    </row>
    <row r="134" spans="1:9" x14ac:dyDescent="0.3">
      <c r="A134" s="14"/>
      <c r="B134" s="15"/>
      <c r="C134" s="54"/>
      <c r="D134" s="28"/>
      <c r="E134" s="28"/>
      <c r="F134" s="23">
        <f>Nov!F134+(D134-E134)</f>
        <v>0</v>
      </c>
      <c r="G134" s="8"/>
      <c r="H134" s="9"/>
      <c r="I134" s="25"/>
    </row>
    <row r="135" spans="1:9" x14ac:dyDescent="0.3">
      <c r="A135" s="14"/>
      <c r="B135" s="15"/>
      <c r="C135" s="54"/>
      <c r="D135" s="28"/>
      <c r="E135" s="28"/>
      <c r="F135" s="23">
        <f>Nov!F135+(D135-E135)</f>
        <v>0</v>
      </c>
      <c r="G135" s="8"/>
      <c r="H135" s="9"/>
      <c r="I135" s="25"/>
    </row>
    <row r="136" spans="1:9" x14ac:dyDescent="0.3">
      <c r="A136" s="14"/>
      <c r="B136" s="15"/>
      <c r="C136" s="54"/>
      <c r="D136" s="28"/>
      <c r="E136" s="28"/>
      <c r="F136" s="23">
        <f>Nov!F136+(D136-E136)</f>
        <v>0</v>
      </c>
      <c r="G136" s="8"/>
      <c r="H136" s="9"/>
      <c r="I136" s="25"/>
    </row>
    <row r="137" spans="1:9" x14ac:dyDescent="0.3">
      <c r="A137" s="14"/>
      <c r="B137" s="15"/>
      <c r="C137" s="54"/>
      <c r="D137" s="28"/>
      <c r="E137" s="28"/>
      <c r="F137" s="23">
        <f>Nov!F137+(D137-E137)</f>
        <v>0</v>
      </c>
      <c r="G137" s="8"/>
      <c r="H137" s="9"/>
      <c r="I137" s="25"/>
    </row>
    <row r="138" spans="1:9" x14ac:dyDescent="0.3">
      <c r="A138" s="14"/>
      <c r="B138" s="15"/>
      <c r="C138" s="54"/>
      <c r="D138" s="28"/>
      <c r="E138" s="28"/>
      <c r="F138" s="23">
        <f>Nov!F138+(D138-E138)</f>
        <v>0</v>
      </c>
      <c r="G138" s="8"/>
      <c r="H138" s="9"/>
      <c r="I138" s="25"/>
    </row>
    <row r="139" spans="1:9" x14ac:dyDescent="0.3">
      <c r="A139" s="14"/>
      <c r="B139" s="15"/>
      <c r="C139" s="54"/>
      <c r="D139" s="28"/>
      <c r="E139" s="28"/>
      <c r="F139" s="23">
        <f>Nov!F139+(D139-E139)</f>
        <v>0</v>
      </c>
      <c r="G139" s="8"/>
      <c r="H139" s="9"/>
      <c r="I139" s="25"/>
    </row>
    <row r="140" spans="1:9" x14ac:dyDescent="0.3">
      <c r="A140" s="14"/>
      <c r="B140" s="15"/>
      <c r="C140" s="54"/>
      <c r="D140" s="28"/>
      <c r="E140" s="28"/>
      <c r="F140" s="23">
        <f>Nov!F140+(D140-E140)</f>
        <v>0</v>
      </c>
      <c r="G140" s="8"/>
      <c r="H140" s="9"/>
      <c r="I140" s="25"/>
    </row>
    <row r="141" spans="1:9" x14ac:dyDescent="0.3">
      <c r="A141" s="14"/>
      <c r="B141" s="15"/>
      <c r="C141" s="54"/>
      <c r="D141" s="28"/>
      <c r="E141" s="28"/>
      <c r="F141" s="23">
        <f>Nov!F141+(D141-E141)</f>
        <v>0</v>
      </c>
      <c r="G141" s="8"/>
      <c r="H141" s="9"/>
      <c r="I141" s="25"/>
    </row>
    <row r="142" spans="1:9" x14ac:dyDescent="0.3">
      <c r="A142" s="14"/>
      <c r="B142" s="15"/>
      <c r="C142" s="54"/>
      <c r="D142" s="28"/>
      <c r="E142" s="28"/>
      <c r="F142" s="23">
        <f>Nov!F142+(D142-E142)</f>
        <v>0</v>
      </c>
      <c r="G142" s="8"/>
      <c r="H142" s="9"/>
      <c r="I142" s="25"/>
    </row>
    <row r="143" spans="1:9" x14ac:dyDescent="0.3">
      <c r="A143" s="14"/>
      <c r="B143" s="15"/>
      <c r="C143" s="54"/>
      <c r="D143" s="28"/>
      <c r="E143" s="28"/>
      <c r="F143" s="23">
        <f>Nov!F143+(D143-E143)</f>
        <v>0</v>
      </c>
      <c r="G143" s="8"/>
      <c r="H143" s="9"/>
      <c r="I143" s="25"/>
    </row>
    <row r="144" spans="1:9" x14ac:dyDescent="0.3">
      <c r="A144" s="14"/>
      <c r="B144" s="15"/>
      <c r="C144" s="54"/>
      <c r="D144" s="28"/>
      <c r="E144" s="28"/>
      <c r="F144" s="23">
        <f>Nov!F144+(D144-E144)</f>
        <v>0</v>
      </c>
      <c r="G144" s="8"/>
      <c r="H144" s="9"/>
      <c r="I144" s="25"/>
    </row>
    <row r="145" spans="1:9" x14ac:dyDescent="0.3">
      <c r="A145" s="14"/>
      <c r="B145" s="15"/>
      <c r="C145" s="54"/>
      <c r="D145" s="28"/>
      <c r="E145" s="28"/>
      <c r="F145" s="23">
        <f>Nov!F145+(D145-E145)</f>
        <v>0</v>
      </c>
      <c r="G145" s="8"/>
      <c r="H145" s="9"/>
      <c r="I145" s="25"/>
    </row>
    <row r="146" spans="1:9" x14ac:dyDescent="0.3">
      <c r="A146" s="14"/>
      <c r="B146" s="15"/>
      <c r="C146" s="54"/>
      <c r="D146" s="28"/>
      <c r="E146" s="28"/>
      <c r="F146" s="23">
        <f>Nov!F146+(D146-E146)</f>
        <v>0</v>
      </c>
      <c r="G146" s="8"/>
      <c r="H146" s="9"/>
      <c r="I146" s="25"/>
    </row>
    <row r="147" spans="1:9" x14ac:dyDescent="0.3">
      <c r="A147" s="14"/>
      <c r="B147" s="15"/>
      <c r="C147" s="54"/>
      <c r="D147" s="28"/>
      <c r="E147" s="28"/>
      <c r="F147" s="23">
        <f>Nov!F147+(D147-E147)</f>
        <v>0</v>
      </c>
      <c r="G147" s="8"/>
      <c r="H147" s="9"/>
      <c r="I147" s="25"/>
    </row>
    <row r="148" spans="1:9" x14ac:dyDescent="0.3">
      <c r="A148" s="14"/>
      <c r="B148" s="15"/>
      <c r="C148" s="54"/>
      <c r="D148" s="28"/>
      <c r="E148" s="28"/>
      <c r="F148" s="23">
        <f>Nov!F148+(D148-E148)</f>
        <v>0</v>
      </c>
      <c r="G148" s="8"/>
      <c r="H148" s="9"/>
      <c r="I148" s="25"/>
    </row>
    <row r="149" spans="1:9" x14ac:dyDescent="0.3">
      <c r="A149" s="14"/>
      <c r="B149" s="15"/>
      <c r="C149" s="54"/>
      <c r="D149" s="28"/>
      <c r="E149" s="28"/>
      <c r="F149" s="23">
        <f>Nov!F149+(D149-E149)</f>
        <v>0</v>
      </c>
      <c r="G149" s="8"/>
      <c r="H149" s="9"/>
      <c r="I149" s="25"/>
    </row>
    <row r="150" spans="1:9" x14ac:dyDescent="0.3">
      <c r="A150" s="14"/>
      <c r="B150" s="15"/>
      <c r="C150" s="54"/>
      <c r="D150" s="29"/>
      <c r="E150" s="29"/>
      <c r="F150" s="23">
        <f>Nov!F150+(D150-E150)</f>
        <v>0</v>
      </c>
      <c r="G150" s="16"/>
      <c r="H150" s="17"/>
      <c r="I150" s="26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conditionalFormatting sqref="C3">
    <cfRule type="expression" dxfId="1" priority="2">
      <formula>XFD3&lt;&gt;""</formula>
    </cfRule>
  </conditionalFormatting>
  <conditionalFormatting sqref="C4:C54">
    <cfRule type="expression" dxfId="0" priority="1">
      <formula>XFD4&lt;&gt;""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Intro</vt:lpstr>
      <vt:lpstr>Overview</vt:lpstr>
      <vt:lpstr>Mod</vt:lpstr>
      <vt:lpstr>Hidden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2019-07-28T23:50:09Z</dcterms:created>
  <dcterms:modified xsi:type="dcterms:W3CDTF">2019-08-01T19:43:52Z</dcterms:modified>
</cp:coreProperties>
</file>